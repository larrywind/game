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210" windowWidth="15510" windowHeight="7710"/>
  </bookViews>
  <sheets>
    <sheet name="2015年上半年目标制定表" sheetId="1" r:id="rId1"/>
    <sheet name="Sheet1" sheetId="2" state="hidden" r:id="rId2"/>
    <sheet name="Sheet11" sheetId="3" state="hidden" r:id="rId3"/>
    <sheet name="Sheet22" sheetId="4" state="hidden" r:id="rId4"/>
  </sheets>
  <definedNames>
    <definedName name="_1星">Sheet1!$E$2:$E$6</definedName>
    <definedName name="_2星">Sheet1!$D$2:$D$6</definedName>
    <definedName name="_3星">Sheet1!$C$2:$C$10</definedName>
    <definedName name="_4星">Sheet1!$B$2:$B$10</definedName>
    <definedName name="_5星">Sheet1!$A$2:$A$10</definedName>
    <definedName name="_xlnm._FilterDatabase" localSheetId="0" hidden="1">'2015年上半年目标制定表'!$B$33:$F$37</definedName>
    <definedName name="组织管理评价">Sheet1!$A$2:$A$10</definedName>
  </definedNames>
  <calcPr calcId="125725"/>
  <fileRecoveryPr repairLoad="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/>
  <c r="D35"/>
  <c r="C35"/>
  <c r="R6"/>
  <c r="R7"/>
  <c r="R8"/>
  <c r="R11"/>
  <c r="R12"/>
  <c r="R13"/>
  <c r="R14"/>
  <c r="R15"/>
  <c r="R16"/>
  <c r="R17"/>
  <c r="R18"/>
  <c r="R19"/>
  <c r="R20"/>
  <c r="R21"/>
  <c r="E36"/>
  <c r="D36"/>
  <c r="C36"/>
  <c r="R22" l="1"/>
  <c r="K22" s="1"/>
  <c r="E22"/>
  <c r="Q6" l="1"/>
  <c r="Q7"/>
  <c r="Q8"/>
  <c r="Q11"/>
  <c r="Q12"/>
  <c r="Q13"/>
  <c r="Q14"/>
  <c r="Q15"/>
  <c r="Q16"/>
  <c r="Q17"/>
  <c r="Q18"/>
  <c r="Q19"/>
  <c r="Q20"/>
  <c r="Q21"/>
  <c r="P6"/>
  <c r="P7"/>
  <c r="P8"/>
  <c r="P11"/>
  <c r="P12"/>
  <c r="P13"/>
  <c r="P14"/>
  <c r="P15"/>
  <c r="P16"/>
  <c r="P17"/>
  <c r="P18"/>
  <c r="P19"/>
  <c r="P20"/>
  <c r="P21"/>
  <c r="Q22" l="1"/>
  <c r="I22" s="1"/>
  <c r="P22"/>
  <c r="G22" s="1"/>
</calcChain>
</file>

<file path=xl/sharedStrings.xml><?xml version="1.0" encoding="utf-8"?>
<sst xmlns="http://schemas.openxmlformats.org/spreadsheetml/2006/main" count="200" uniqueCount="92">
  <si>
    <t>权重</t>
  </si>
  <si>
    <t>自评</t>
  </si>
  <si>
    <t>等级</t>
    <phoneticPr fontId="3" type="noConversion"/>
  </si>
  <si>
    <t>说明</t>
  </si>
  <si>
    <t>评估等级</t>
  </si>
  <si>
    <t>合计</t>
    <phoneticPr fontId="1" type="noConversion"/>
  </si>
  <si>
    <t>核心领域/产品/项目</t>
    <phoneticPr fontId="3" type="noConversion"/>
  </si>
  <si>
    <t>Part2：组织管理评价</t>
    <phoneticPr fontId="3" type="noConversion"/>
  </si>
  <si>
    <t>5星</t>
  </si>
  <si>
    <t>4星+</t>
  </si>
  <si>
    <t>4星</t>
  </si>
  <si>
    <t>4星-</t>
  </si>
  <si>
    <t>3星+</t>
  </si>
  <si>
    <t>3星</t>
  </si>
  <si>
    <t>3星-</t>
  </si>
  <si>
    <t>2星</t>
  </si>
  <si>
    <t>1星</t>
  </si>
  <si>
    <t>5星</t>
    <phoneticPr fontId="1" type="noConversion"/>
  </si>
  <si>
    <t>每个产品/领域/项目的首要责任人</t>
    <phoneticPr fontId="3" type="noConversion"/>
  </si>
  <si>
    <t>附录：评估标准说明如下：</t>
    <phoneticPr fontId="3" type="noConversion"/>
  </si>
  <si>
    <r>
      <t>按产品维度拉通，重点描述战略目标达成情况，并说明目标达成外的价值贡献（按产品维度填写，字数建议控制在200字内），建议可以从”</t>
    </r>
    <r>
      <rPr>
        <b/>
        <sz val="9"/>
        <rFont val="微软雅黑"/>
        <family val="2"/>
        <charset val="134"/>
      </rPr>
      <t>用户价值、商业价值、效能价值</t>
    </r>
    <r>
      <rPr>
        <sz val="9"/>
        <rFont val="微软雅黑"/>
        <family val="2"/>
        <charset val="134"/>
      </rPr>
      <t>“几个维度展开，通过与历史比、与行业比来综合评判</t>
    </r>
    <phoneticPr fontId="1" type="noConversion"/>
  </si>
  <si>
    <t>赋值</t>
  </si>
  <si>
    <t>95~100</t>
  </si>
  <si>
    <t>85~95</t>
  </si>
  <si>
    <t>80~85</t>
  </si>
  <si>
    <t>70~80</t>
  </si>
  <si>
    <t>70分以下</t>
  </si>
  <si>
    <t>参考分数段</t>
    <phoneticPr fontId="3" type="noConversion"/>
  </si>
  <si>
    <t>参考对应等级赋值</t>
    <phoneticPr fontId="3" type="noConversion"/>
  </si>
  <si>
    <r>
      <rPr>
        <b/>
        <u/>
        <sz val="11"/>
        <color theme="1"/>
        <rFont val="微软雅黑"/>
        <family val="2"/>
        <charset val="134"/>
      </rPr>
      <t xml:space="preserve">    XXX(部门)  </t>
    </r>
    <r>
      <rPr>
        <b/>
        <sz val="11"/>
        <color theme="1"/>
        <rFont val="微软雅黑"/>
        <family val="2"/>
        <charset val="134"/>
      </rPr>
      <t xml:space="preserve"> 2015H1二级BSC目标制定表</t>
    </r>
    <phoneticPr fontId="1" type="noConversion"/>
  </si>
  <si>
    <t>责任主体</t>
    <phoneticPr fontId="3" type="noConversion"/>
  </si>
  <si>
    <t>SEVP评估</t>
    <phoneticPr fontId="3" type="noConversion"/>
  </si>
  <si>
    <t>说明</t>
    <phoneticPr fontId="3" type="noConversion"/>
  </si>
  <si>
    <t>上级评估（部门第一负责人的上级）</t>
    <phoneticPr fontId="3" type="noConversion"/>
  </si>
  <si>
    <t>SEVP评估</t>
    <phoneticPr fontId="3" type="noConversion"/>
  </si>
  <si>
    <t>5大档</t>
    <phoneticPr fontId="3" type="noConversion"/>
  </si>
  <si>
    <t>上级评估赋值</t>
    <phoneticPr fontId="3" type="noConversion"/>
  </si>
  <si>
    <t>SEVP评估赋值</t>
    <phoneticPr fontId="3" type="noConversion"/>
  </si>
  <si>
    <t>SUMPRODUCT(H6:H22,AB6:AB22)</t>
    <phoneticPr fontId="3" type="noConversion"/>
  </si>
  <si>
    <r>
      <t>Part1：业务评价（建议</t>
    </r>
    <r>
      <rPr>
        <b/>
        <sz val="11"/>
        <color rgb="FFFF0000"/>
        <rFont val="微软雅黑"/>
        <family val="2"/>
        <charset val="134"/>
      </rPr>
      <t>聚焦5-8项</t>
    </r>
    <r>
      <rPr>
        <b/>
        <sz val="11"/>
        <color theme="1"/>
        <rFont val="微软雅黑"/>
        <family val="2"/>
        <charset val="134"/>
      </rPr>
      <t>重点产品或核心领域）</t>
    </r>
    <phoneticPr fontId="3" type="noConversion"/>
  </si>
  <si>
    <t>Part3：综合评价</t>
    <phoneticPr fontId="3" type="noConversion"/>
  </si>
  <si>
    <t>一个产品/领域对应一个权重</t>
    <phoneticPr fontId="1" type="noConversion"/>
  </si>
  <si>
    <t>关键策略</t>
    <phoneticPr fontId="3" type="noConversion"/>
  </si>
  <si>
    <t>衡量标准</t>
    <phoneticPr fontId="3" type="noConversion"/>
  </si>
  <si>
    <t>从“用户价值、效能价值”等纬度定性/定量描述</t>
  </si>
  <si>
    <t>按产品维度聚焦描述具体的几条关键策略，要求：简单、清晰、到位</t>
    <phoneticPr fontId="3" type="noConversion"/>
  </si>
  <si>
    <t>，可按聚焦的重点产品/项目或者领域填写</t>
    <phoneticPr fontId="1" type="noConversion"/>
  </si>
  <si>
    <t>衡量标准</t>
    <phoneticPr fontId="3" type="noConversion"/>
  </si>
  <si>
    <t>用于牵引BG/部门关注资源的盘活和聚焦，确保资源向重点项目倾斜（尤其是HC资源），同时关注每位员工是否有清晰的目标感（尤其是重点项目基干的目标是否清晰）和成就感，激发他们的动力，确保重点项目业绩达成</t>
    <phoneticPr fontId="3" type="noConversion"/>
  </si>
  <si>
    <t>用于牵引BG/部门关注“一线经理管理能力、核心人才领导力、产品经理能力、移动互联网能力”的培养和提升，加速领军人才培养和战略关键人才挖掘</t>
    <phoneticPr fontId="3" type="noConversion"/>
  </si>
  <si>
    <t>用于鼓励部门关注组织氛围建设，减少员工主动流失率，尤其是骨干人员的流失。（骨干人员包括Teamleader及以上管理干部和专业三级及以上员工）</t>
    <phoneticPr fontId="3" type="noConversion"/>
  </si>
  <si>
    <t>组织活力提升</t>
    <phoneticPr fontId="3" type="noConversion"/>
  </si>
  <si>
    <t>人均产出比，组织及汇报关系合理性，敬业度数据，员工目标制定达成率及质量，重点资源配置情况等。</t>
    <phoneticPr fontId="3" type="noConversion"/>
  </si>
  <si>
    <t>关键能力提升</t>
    <phoneticPr fontId="3" type="noConversion"/>
  </si>
  <si>
    <t>关键人才梯队建设情况，专业职级晋升率，领导力360评估</t>
    <phoneticPr fontId="3" type="noConversion"/>
  </si>
  <si>
    <t>骨干流失情况</t>
    <phoneticPr fontId="3" type="noConversion"/>
  </si>
  <si>
    <t>关键人才流失率</t>
    <phoneticPr fontId="3" type="noConversion"/>
  </si>
  <si>
    <t>合计</t>
    <phoneticPr fontId="3" type="noConversion"/>
  </si>
  <si>
    <t>最终等级</t>
  </si>
  <si>
    <t>牵引方向</t>
    <phoneticPr fontId="3" type="noConversion"/>
  </si>
  <si>
    <t>参考指标</t>
    <phoneticPr fontId="3" type="noConversion"/>
  </si>
  <si>
    <t>权重</t>
    <phoneticPr fontId="3" type="noConversion"/>
  </si>
  <si>
    <t>最终等级</t>
    <phoneticPr fontId="3" type="noConversion"/>
  </si>
  <si>
    <t>等级</t>
    <phoneticPr fontId="3" type="noConversion"/>
  </si>
  <si>
    <t>评价结果</t>
    <phoneticPr fontId="3" type="noConversion"/>
  </si>
  <si>
    <t>自评</t>
    <phoneticPr fontId="3" type="noConversion"/>
  </si>
  <si>
    <t>SEVP评估</t>
    <phoneticPr fontId="3" type="noConversion"/>
  </si>
  <si>
    <t>评估要求</t>
    <phoneticPr fontId="3" type="noConversion"/>
  </si>
  <si>
    <t>Part1：业务评价</t>
    <phoneticPr fontId="3" type="noConversion"/>
  </si>
  <si>
    <t>组织管理作为综合评价门槛要求：
1、组织管理&lt;=2星，综合评价最高为3星+；
2、其他情况，以业务评价为主，按实际评估。</t>
    <phoneticPr fontId="3" type="noConversion"/>
  </si>
  <si>
    <t>Part2：组织管理评价</t>
    <phoneticPr fontId="3" type="noConversion"/>
  </si>
  <si>
    <t>Part3：综合评价</t>
    <phoneticPr fontId="3" type="noConversion"/>
  </si>
  <si>
    <t>上级评估</t>
    <phoneticPr fontId="3" type="noConversion"/>
  </si>
  <si>
    <t>等级</t>
    <phoneticPr fontId="3" type="noConversion"/>
  </si>
  <si>
    <t>系统测算等级</t>
  </si>
  <si>
    <t>上级评估</t>
    <phoneticPr fontId="3" type="noConversion"/>
  </si>
  <si>
    <t>说明</t>
    <phoneticPr fontId="3" type="noConversion"/>
  </si>
  <si>
    <t>通过深化渠道运营，增强高端用户触达能力；同时进一步打造基于数据分析的精细化运营能力，使用户生命周期在心悦特权关怀下更趋健康。</t>
    <phoneticPr fontId="3" type="noConversion"/>
  </si>
  <si>
    <t>完成对短信、官网、微官网、Ingame等渠道的梳理和优化，对利用低、体验差、缺失的内容及模块进行优化完善和扩充，提升心悦与用户接触能力，并细化接触的场景与体验，通过精准识别、渠道数据监控，完善内容与路径。最终使心悦特权活跃率持续提升至45%。</t>
    <phoneticPr fontId="3" type="noConversion"/>
  </si>
  <si>
    <t>iData数据服务：
为业务提供一站式的腾讯游戏数据服务，以游戏生命周期打造数据化运营闭环。</t>
  </si>
  <si>
    <t>运维服务能力提升</t>
    <phoneticPr fontId="3" type="noConversion"/>
  </si>
  <si>
    <t>数据化营销</t>
    <phoneticPr fontId="3" type="noConversion"/>
  </si>
  <si>
    <t>1、数据到营销功能打通：
     通过看数据直接发起信鸽、CTIPS的营销支持；
     自助投放信鸽、CTIPS渠道覆盖率90%;
2、运营分析功能丰富：
     实现用户类指标快捷提取、下钻、跟踪、画像分析功能打通
     提取+下钻+跟踪后台周均任务数 10000;
3、内容场景化建设：
     完成”新进用户”专题、”活跃用户”专题
     月专题页面访问周均次数1000 ;
4、业务接入
     完成5星(含准5星)业务场景化专题接入
     完成5星(含准5星)业务下钻和用户画像分析接入
     完成5星(含准5星)业务CTIPS（端游）、信鸽（手游）在iData接入</t>
    <phoneticPr fontId="3" type="noConversion"/>
  </si>
  <si>
    <t>道聚城：
提供基础道具管理平台、灵活多样的促销活动形式，以及游戏差异化的运营服务内容，最终帮助业务提升收入</t>
    <phoneticPr fontId="3" type="noConversion"/>
  </si>
  <si>
    <r>
      <rPr>
        <b/>
        <sz val="10"/>
        <color theme="1"/>
        <rFont val="微软雅黑"/>
        <family val="2"/>
        <charset val="134"/>
      </rPr>
      <t>2015上半年重点，通过自助化、开放化建设，以及监控加固，提升平台服务能力，达到业务可快速接入上线及稳定运营；</t>
    </r>
    <r>
      <rPr>
        <sz val="10"/>
        <color theme="1"/>
        <rFont val="微软雅黑"/>
        <family val="2"/>
        <charset val="134"/>
      </rPr>
      <t xml:space="preserve">
1、自助：
     a) 业务接入自助：接入</t>
    </r>
    <r>
      <rPr>
        <sz val="10"/>
        <color rgb="FFFF0000"/>
        <rFont val="微软雅黑"/>
        <family val="2"/>
        <charset val="134"/>
      </rPr>
      <t>全流程化</t>
    </r>
    <r>
      <rPr>
        <sz val="10"/>
        <color theme="1"/>
        <rFont val="微软雅黑"/>
        <family val="2"/>
        <charset val="134"/>
      </rPr>
      <t>；开发外包化（不包含验收投入）；可达到新接入</t>
    </r>
    <r>
      <rPr>
        <sz val="10"/>
        <color rgb="FFFF0000"/>
        <rFont val="微软雅黑"/>
        <family val="2"/>
        <charset val="134"/>
      </rPr>
      <t>8款业务</t>
    </r>
    <r>
      <rPr>
        <sz val="10"/>
        <color theme="1"/>
        <rFont val="微软雅黑"/>
        <family val="2"/>
        <charset val="134"/>
      </rPr>
      <t>（3款端游、5款手游）
     b) 业务运营自助：固化</t>
    </r>
    <r>
      <rPr>
        <sz val="10"/>
        <color rgb="FFFF0000"/>
        <rFont val="微软雅黑"/>
        <family val="2"/>
        <charset val="134"/>
      </rPr>
      <t>3种促销活动模版</t>
    </r>
    <r>
      <rPr>
        <sz val="10"/>
        <color theme="1"/>
        <rFont val="微软雅黑"/>
        <family val="2"/>
        <charset val="134"/>
      </rPr>
      <t>，实现产品自助
2、开放：
    服务能力开放：实现合作项目购买环节，道具接口、订单支付组件的开放；在2+个项目上试点
3、监控：
     a) 完成订单（包括支付金额、方式）的准实时监控
     b) 完成道具发送数量、频率、价值数据的准实时监控
     c) 实现购物点、优惠券的对账</t>
    </r>
    <phoneticPr fontId="3" type="noConversion"/>
  </si>
  <si>
    <t>数据挖掘：
为游戏精细化运营提供数据挖掘服务能力并落地应用</t>
    <phoneticPr fontId="3" type="noConversion"/>
  </si>
  <si>
    <t xml:space="preserve">【业务能力】
1、道具推荐：
     业务量：       完成对LOL、逆战、炫舞、飞车的覆盖
     新场景拓展：在LOL等游戏进行游戏内的精细化场景推荐，协助LOL在新场景上完成8亿收入。
     游戏原有场景优化：在原有售卖渠道上通过推荐带来5%以上的收益提升
2、广告推荐：
     业务量：完成QQ游戏大厅广告、市场部O2广告的推荐工作
3、精准营销（精准拉新/拉回流/拉付费）：
     业务量：覆盖天天酷跑、天天炫斗、MT2等全部精品手游，以及CF、LOL、DNF、CODOL等所有五/六星级PC端业务
【平台能力】
1、服务能力：
     推荐引擎能够支撑日PV 50亿以上流量
2、用户画像：
     覆盖天天酷跑、天天炫斗、MT2等全部精品手游，以及CF、LOL、DNF、CODOL等所有五/六星级PC端业务
</t>
    <phoneticPr fontId="3" type="noConversion"/>
  </si>
  <si>
    <t>心悦差异化特权服务</t>
    <phoneticPr fontId="3" type="noConversion"/>
  </si>
  <si>
    <t>完善蓝鲸PaaS平台能力，推进游戏基础运维工作的自助/自动化。</t>
    <phoneticPr fontId="3" type="noConversion"/>
  </si>
  <si>
    <t>1、基础运维能力提升：四星级以上业务及新业务的发布变更、开区迁移、扩容缩容等基础运维场景的自助服务比例提升至50%，通过智能监控和故障自愈项目构建故障的发现分析处理的自动化，实现100款业务的50%故障处理无人值守。
2、提高平台的安全性和稳定性：通过docker等新技术增强PaaS平台上APP间的隔离安全性，不出现用户间信息泄露事件，通过对ESB平台的高可用改造提升平台整体可用性高至99.9%以上。</t>
    <phoneticPr fontId="3" type="noConversion"/>
  </si>
  <si>
    <t>强化数据分析和智能决策能力，完善运维闭环服务支撑系统，提高运维闭环服务的覆盖面；</t>
    <phoneticPr fontId="3" type="noConversion"/>
  </si>
  <si>
    <t>1、登录体验优化服务:
登录异常跟踪覆盖60%接入TCLS端游业务，优化后6星业务的登录投诉平均下降30%；
2、下载体验优化服务：
下载优化服务覆盖60%接入TCLS的端游业务，100m以内的更新包的下载更新时间控制在3分钟之内；
3、版本发布服务：
覆盖50%接入标准化发布的业务，版本健康度分数大于90分；
4、智能扩缩容服务（智能扩缩容服务可以做到自动判断是否需要扩缩容，并在人工确认之后自动完成扩缩容操作，可以大大提高扩缩容的效率，降低产品和运维的工作量）：
扩缩容服务接入60%有需求的端游业务的数据，其中40%的业务实现智能扩缩容，智能扩缩容准确率达到80%；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</si>
</sst>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%"/>
    <numFmt numFmtId="177" formatCode="0.00_ 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2"/>
      <scheme val="minor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宋体"/>
      <family val="2"/>
      <charset val="134"/>
      <scheme val="minor"/>
    </font>
    <font>
      <b/>
      <sz val="9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34998626667073579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9" fillId="0" borderId="0" xfId="0" applyFont="1" applyAlignment="1" applyProtection="1">
      <protection locked="0"/>
    </xf>
    <xf numFmtId="0" fontId="13" fillId="0" borderId="0" xfId="0" applyFont="1" applyAlignment="1" applyProtection="1"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176" fontId="5" fillId="3" borderId="0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/>
      <protection locked="0"/>
    </xf>
    <xf numFmtId="0" fontId="10" fillId="3" borderId="0" xfId="0" applyFont="1" applyFill="1" applyBorder="1" applyAlignment="1" applyProtection="1">
      <protection locked="0"/>
    </xf>
    <xf numFmtId="0" fontId="9" fillId="3" borderId="0" xfId="0" applyFont="1" applyFill="1" applyAlignment="1" applyProtection="1">
      <protection locked="0"/>
    </xf>
    <xf numFmtId="9" fontId="5" fillId="3" borderId="0" xfId="0" applyNumberFormat="1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176" fontId="9" fillId="3" borderId="0" xfId="0" applyNumberFormat="1" applyFont="1" applyFill="1" applyAlignment="1" applyProtection="1">
      <alignment horizontal="center" readingOrder="1"/>
      <protection locked="0"/>
    </xf>
    <xf numFmtId="0" fontId="5" fillId="3" borderId="0" xfId="0" applyFont="1" applyFill="1" applyAlignment="1" applyProtection="1">
      <protection locked="0"/>
    </xf>
    <xf numFmtId="0" fontId="4" fillId="3" borderId="0" xfId="0" applyFont="1" applyFill="1" applyAlignment="1" applyProtection="1">
      <alignment horizontal="left"/>
      <protection locked="0"/>
    </xf>
    <xf numFmtId="176" fontId="9" fillId="0" borderId="0" xfId="0" applyNumberFormat="1" applyFont="1" applyAlignment="1" applyProtection="1">
      <alignment horizontal="center" readingOrder="1"/>
      <protection locked="0"/>
    </xf>
    <xf numFmtId="0" fontId="0" fillId="0" borderId="0" xfId="0" quotePrefix="1">
      <alignment vertical="center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left" vertical="center"/>
      <protection locked="0"/>
    </xf>
    <xf numFmtId="0" fontId="5" fillId="6" borderId="5" xfId="0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 applyProtection="1">
      <alignment horizontal="left" vertical="center" wrapText="1" readingOrder="1"/>
      <protection locked="0"/>
    </xf>
    <xf numFmtId="177" fontId="4" fillId="0" borderId="1" xfId="0" applyNumberFormat="1" applyFont="1" applyBorder="1" applyAlignment="1" applyProtection="1">
      <alignment horizontal="center" vertical="center" readingOrder="1"/>
      <protection locked="0"/>
    </xf>
    <xf numFmtId="0" fontId="5" fillId="6" borderId="10" xfId="0" applyNumberFormat="1" applyFont="1" applyFill="1" applyBorder="1" applyAlignment="1" applyProtection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177" fontId="4" fillId="0" borderId="18" xfId="0" applyNumberFormat="1" applyFont="1" applyBorder="1" applyAlignment="1" applyProtection="1">
      <alignment horizontal="center" vertical="center" readingOrder="1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16" fillId="7" borderId="33" xfId="0" applyFont="1" applyFill="1" applyBorder="1" applyAlignment="1">
      <alignment horizontal="center" vertical="center" wrapText="1"/>
    </xf>
    <xf numFmtId="0" fontId="16" fillId="7" borderId="34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6" fillId="7" borderId="38" xfId="0" applyFont="1" applyFill="1" applyBorder="1" applyAlignment="1">
      <alignment horizontal="center" vertical="center" wrapText="1"/>
    </xf>
    <xf numFmtId="0" fontId="11" fillId="0" borderId="20" xfId="0" applyFont="1" applyBorder="1" applyAlignment="1" applyProtection="1">
      <alignment horizontal="center" vertical="center" wrapText="1" readingOrder="1"/>
      <protection locked="0"/>
    </xf>
    <xf numFmtId="0" fontId="12" fillId="2" borderId="4" xfId="0" applyFont="1" applyFill="1" applyBorder="1" applyAlignment="1" applyProtection="1">
      <alignment horizontal="left" vertical="center" wrapText="1" readingOrder="1"/>
      <protection locked="0"/>
    </xf>
    <xf numFmtId="176" fontId="4" fillId="0" borderId="1" xfId="0" applyNumberFormat="1" applyFont="1" applyFill="1" applyBorder="1" applyAlignment="1" applyProtection="1">
      <alignment horizontal="center" vertical="center" readingOrder="1"/>
      <protection locked="0"/>
    </xf>
    <xf numFmtId="176" fontId="4" fillId="0" borderId="18" xfId="0" applyNumberFormat="1" applyFont="1" applyFill="1" applyBorder="1" applyAlignment="1" applyProtection="1">
      <alignment horizontal="center" vertical="center" readingOrder="1"/>
      <protection locked="0"/>
    </xf>
    <xf numFmtId="177" fontId="4" fillId="0" borderId="20" xfId="0" applyNumberFormat="1" applyFont="1" applyBorder="1" applyAlignment="1" applyProtection="1">
      <alignment horizontal="center" vertical="center" readingOrder="1"/>
      <protection locked="0"/>
    </xf>
    <xf numFmtId="177" fontId="4" fillId="0" borderId="20" xfId="0" applyNumberFormat="1" applyFont="1" applyFill="1" applyBorder="1" applyAlignment="1" applyProtection="1">
      <alignment horizontal="center" vertical="center" readingOrder="1"/>
      <protection locked="0"/>
    </xf>
    <xf numFmtId="176" fontId="4" fillId="0" borderId="20" xfId="0" applyNumberFormat="1" applyFont="1" applyFill="1" applyBorder="1" applyAlignment="1" applyProtection="1">
      <alignment horizontal="center" vertical="center" readingOrder="1"/>
      <protection locked="0"/>
    </xf>
    <xf numFmtId="176" fontId="4" fillId="0" borderId="20" xfId="0" applyNumberFormat="1" applyFont="1" applyBorder="1" applyAlignment="1" applyProtection="1">
      <alignment horizontal="center" vertical="center" readingOrder="1"/>
      <protection locked="0"/>
    </xf>
    <xf numFmtId="0" fontId="12" fillId="2" borderId="13" xfId="0" applyFont="1" applyFill="1" applyBorder="1" applyAlignment="1" applyProtection="1">
      <alignment horizontal="left" vertical="center" wrapText="1" readingOrder="1"/>
      <protection locked="0"/>
    </xf>
    <xf numFmtId="176" fontId="4" fillId="0" borderId="10" xfId="0" applyNumberFormat="1" applyFont="1" applyBorder="1" applyAlignment="1" applyProtection="1">
      <alignment horizontal="center" vertical="center" readingOrder="1"/>
      <protection locked="0"/>
    </xf>
    <xf numFmtId="176" fontId="4" fillId="0" borderId="13" xfId="0" applyNumberFormat="1" applyFont="1" applyBorder="1" applyAlignment="1" applyProtection="1">
      <alignment horizontal="center" vertical="center" readingOrder="1"/>
      <protection locked="0"/>
    </xf>
    <xf numFmtId="176" fontId="4" fillId="0" borderId="17" xfId="0" applyNumberFormat="1" applyFont="1" applyBorder="1" applyAlignment="1" applyProtection="1">
      <alignment horizontal="center" vertical="center" readingOrder="1"/>
      <protection locked="0"/>
    </xf>
    <xf numFmtId="0" fontId="12" fillId="2" borderId="20" xfId="0" applyFont="1" applyFill="1" applyBorder="1" applyAlignment="1" applyProtection="1">
      <alignment horizontal="left" vertical="center" wrapText="1" readingOrder="1"/>
      <protection locked="0"/>
    </xf>
    <xf numFmtId="0" fontId="15" fillId="0" borderId="2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4" fillId="8" borderId="18" xfId="0" applyFont="1" applyFill="1" applyBorder="1" applyAlignment="1" applyProtection="1">
      <alignment horizontal="center" vertical="center" wrapText="1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0" fontId="4" fillId="8" borderId="20" xfId="0" applyFont="1" applyFill="1" applyBorder="1" applyAlignment="1" applyProtection="1">
      <alignment horizontal="center" vertical="center" wrapText="1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0" fontId="4" fillId="8" borderId="20" xfId="0" applyFont="1" applyFill="1" applyBorder="1" applyAlignment="1" applyProtection="1">
      <alignment horizontal="center" vertical="center"/>
      <protection locked="0"/>
    </xf>
    <xf numFmtId="177" fontId="4" fillId="8" borderId="20" xfId="0" applyNumberFormat="1" applyFont="1" applyFill="1" applyBorder="1" applyAlignment="1" applyProtection="1">
      <alignment horizontal="center" vertical="center" readingOrder="1"/>
      <protection locked="0"/>
    </xf>
    <xf numFmtId="0" fontId="5" fillId="5" borderId="20" xfId="0" applyFont="1" applyFill="1" applyBorder="1" applyAlignment="1" applyProtection="1"/>
    <xf numFmtId="0" fontId="2" fillId="7" borderId="1" xfId="0" applyFont="1" applyFill="1" applyBorder="1" applyAlignment="1" applyProtection="1">
      <alignment horizontal="center" vertical="center" wrapText="1" readingOrder="1"/>
      <protection locked="0"/>
    </xf>
    <xf numFmtId="0" fontId="2" fillId="7" borderId="18" xfId="0" applyFont="1" applyFill="1" applyBorder="1" applyAlignment="1" applyProtection="1">
      <alignment horizontal="center" vertical="center" wrapText="1" readingOrder="1"/>
      <protection locked="0"/>
    </xf>
    <xf numFmtId="0" fontId="5" fillId="6" borderId="20" xfId="0" applyNumberFormat="1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left" vertical="center" wrapText="1"/>
      <protection locked="0"/>
    </xf>
    <xf numFmtId="177" fontId="4" fillId="0" borderId="12" xfId="0" applyNumberFormat="1" applyFont="1" applyFill="1" applyBorder="1" applyAlignment="1" applyProtection="1">
      <alignment horizontal="center" vertical="center" readingOrder="1"/>
      <protection locked="0"/>
    </xf>
    <xf numFmtId="177" fontId="4" fillId="0" borderId="21" xfId="0" applyNumberFormat="1" applyFont="1" applyFill="1" applyBorder="1" applyAlignment="1" applyProtection="1">
      <alignment horizontal="center" vertical="center" readingOrder="1"/>
      <protection locked="0"/>
    </xf>
    <xf numFmtId="177" fontId="4" fillId="0" borderId="42" xfId="0" applyNumberFormat="1" applyFont="1" applyFill="1" applyBorder="1" applyAlignment="1" applyProtection="1">
      <alignment horizontal="center" vertical="center" readingOrder="1"/>
      <protection locked="0"/>
    </xf>
    <xf numFmtId="0" fontId="14" fillId="2" borderId="18" xfId="0" applyFont="1" applyFill="1" applyBorder="1" applyAlignment="1" applyProtection="1">
      <alignment horizontal="left" vertical="center" wrapText="1" readingOrder="1"/>
      <protection locked="0"/>
    </xf>
    <xf numFmtId="0" fontId="7" fillId="7" borderId="18" xfId="0" applyFont="1" applyFill="1" applyBorder="1" applyAlignment="1" applyProtection="1">
      <alignment horizontal="center" vertical="center" wrapText="1" readingOrder="1"/>
      <protection locked="0"/>
    </xf>
    <xf numFmtId="0" fontId="12" fillId="2" borderId="20" xfId="0" applyFont="1" applyFill="1" applyBorder="1" applyAlignment="1" applyProtection="1">
      <alignment horizontal="center" vertical="center" wrapText="1" readingOrder="1"/>
      <protection locked="0"/>
    </xf>
    <xf numFmtId="0" fontId="12" fillId="2" borderId="20" xfId="0" applyFont="1" applyFill="1" applyBorder="1" applyAlignment="1" applyProtection="1">
      <alignment horizontal="left" vertical="top" wrapText="1" readingOrder="1"/>
      <protection locked="0"/>
    </xf>
    <xf numFmtId="9" fontId="5" fillId="5" borderId="20" xfId="0" applyNumberFormat="1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 wrapText="1" readingOrder="1"/>
      <protection locked="0"/>
    </xf>
    <xf numFmtId="0" fontId="7" fillId="7" borderId="51" xfId="0" applyFont="1" applyFill="1" applyBorder="1" applyAlignment="1" applyProtection="1">
      <alignment vertical="center" wrapText="1" readingOrder="1"/>
      <protection locked="0"/>
    </xf>
    <xf numFmtId="0" fontId="5" fillId="5" borderId="22" xfId="0" applyFont="1" applyFill="1" applyBorder="1" applyAlignment="1" applyProtection="1"/>
    <xf numFmtId="0" fontId="5" fillId="5" borderId="23" xfId="0" applyFont="1" applyFill="1" applyBorder="1" applyAlignment="1" applyProtection="1"/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5" fillId="0" borderId="30" xfId="0" applyFont="1" applyFill="1" applyBorder="1" applyAlignment="1" applyProtection="1">
      <alignment horizontal="center" vertical="center"/>
      <protection locked="0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9" fontId="5" fillId="8" borderId="20" xfId="0" applyNumberFormat="1" applyFont="1" applyFill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/>
      <protection locked="0"/>
    </xf>
    <xf numFmtId="0" fontId="4" fillId="8" borderId="13" xfId="0" applyFont="1" applyFill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4" fillId="8" borderId="17" xfId="0" applyFont="1" applyFill="1" applyBorder="1" applyAlignment="1" applyProtection="1">
      <alignment horizontal="center" vertical="center"/>
      <protection locked="0"/>
    </xf>
    <xf numFmtId="9" fontId="4" fillId="8" borderId="20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Fill="1" applyBorder="1" applyAlignment="1" applyProtection="1">
      <alignment horizontal="center" vertical="center"/>
      <protection locked="0"/>
    </xf>
    <xf numFmtId="177" fontId="4" fillId="0" borderId="48" xfId="0" applyNumberFormat="1" applyFont="1" applyFill="1" applyBorder="1" applyAlignment="1" applyProtection="1">
      <alignment horizontal="center" vertical="center"/>
      <protection locked="0"/>
    </xf>
    <xf numFmtId="0" fontId="4" fillId="8" borderId="18" xfId="0" applyFont="1" applyFill="1" applyBorder="1" applyAlignment="1" applyProtection="1">
      <alignment horizontal="left" vertical="center" wrapText="1"/>
      <protection locked="0"/>
    </xf>
    <xf numFmtId="0" fontId="4" fillId="8" borderId="13" xfId="0" applyFont="1" applyFill="1" applyBorder="1" applyAlignment="1" applyProtection="1">
      <alignment horizontal="left" vertical="center" wrapText="1"/>
      <protection locked="0"/>
    </xf>
    <xf numFmtId="0" fontId="4" fillId="8" borderId="20" xfId="0" applyFont="1" applyFill="1" applyBorder="1" applyAlignment="1" applyProtection="1">
      <alignment vertical="center" wrapText="1"/>
      <protection locked="0"/>
    </xf>
    <xf numFmtId="0" fontId="4" fillId="8" borderId="13" xfId="0" applyNumberFormat="1" applyFont="1" applyFill="1" applyBorder="1" applyAlignment="1" applyProtection="1">
      <alignment horizontal="left" vertical="center" wrapText="1"/>
      <protection locked="0"/>
    </xf>
    <xf numFmtId="0" fontId="4" fillId="8" borderId="20" xfId="0" applyFont="1" applyFill="1" applyBorder="1" applyAlignment="1" applyProtection="1">
      <alignment horizontal="left" vertical="center" wrapText="1"/>
      <protection locked="0"/>
    </xf>
    <xf numFmtId="0" fontId="7" fillId="7" borderId="49" xfId="0" applyFont="1" applyFill="1" applyBorder="1" applyAlignment="1" applyProtection="1">
      <alignment horizontal="center" vertical="center" wrapText="1" readingOrder="1"/>
      <protection locked="0"/>
    </xf>
    <xf numFmtId="0" fontId="7" fillId="7" borderId="44" xfId="0" applyFont="1" applyFill="1" applyBorder="1" applyAlignment="1" applyProtection="1">
      <alignment horizontal="center" vertical="center" wrapText="1" readingOrder="1"/>
      <protection locked="0"/>
    </xf>
    <xf numFmtId="0" fontId="7" fillId="7" borderId="3" xfId="0" applyFont="1" applyFill="1" applyBorder="1" applyAlignment="1" applyProtection="1">
      <alignment horizontal="center" vertical="center" wrapText="1" readingOrder="1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176" fontId="9" fillId="3" borderId="0" xfId="0" applyNumberFormat="1" applyFont="1" applyFill="1" applyBorder="1" applyAlignment="1" applyProtection="1">
      <alignment horizontal="center" readingOrder="1"/>
      <protection locked="0"/>
    </xf>
    <xf numFmtId="0" fontId="6" fillId="3" borderId="0" xfId="0" applyFont="1" applyFill="1" applyBorder="1" applyAlignment="1" applyProtection="1">
      <alignment horizontal="left" vertic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7" borderId="4" xfId="0" applyFont="1" applyFill="1" applyBorder="1" applyAlignment="1" applyProtection="1">
      <alignment horizontal="center" vertical="center"/>
      <protection locked="0"/>
    </xf>
    <xf numFmtId="0" fontId="5" fillId="5" borderId="46" xfId="0" applyFont="1" applyFill="1" applyBorder="1" applyAlignment="1" applyProtection="1">
      <alignment horizontal="center" vertical="center"/>
      <protection locked="0"/>
    </xf>
    <xf numFmtId="0" fontId="5" fillId="5" borderId="47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left" vertical="center" wrapText="1"/>
      <protection locked="0"/>
    </xf>
    <xf numFmtId="0" fontId="4" fillId="3" borderId="11" xfId="0" applyFont="1" applyFill="1" applyBorder="1" applyAlignment="1" applyProtection="1">
      <alignment horizontal="left" vertical="center" wrapText="1"/>
      <protection locked="0"/>
    </xf>
    <xf numFmtId="0" fontId="7" fillId="7" borderId="50" xfId="0" applyFont="1" applyFill="1" applyBorder="1" applyAlignment="1" applyProtection="1">
      <alignment horizontal="center" vertical="center"/>
      <protection locked="0"/>
    </xf>
    <xf numFmtId="0" fontId="7" fillId="7" borderId="44" xfId="0" applyFont="1" applyFill="1" applyBorder="1" applyAlignment="1" applyProtection="1">
      <alignment horizontal="center" vertical="center"/>
      <protection locked="0"/>
    </xf>
    <xf numFmtId="0" fontId="5" fillId="6" borderId="17" xfId="0" applyNumberFormat="1" applyFont="1" applyFill="1" applyBorder="1" applyAlignment="1" applyProtection="1">
      <alignment horizontal="center" vertical="center" wrapText="1"/>
    </xf>
    <xf numFmtId="0" fontId="5" fillId="6" borderId="42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42" xfId="0" applyNumberFormat="1" applyFont="1" applyFill="1" applyBorder="1" applyAlignment="1" applyProtection="1">
      <alignment horizontal="center" vertical="center" wrapText="1"/>
    </xf>
    <xf numFmtId="0" fontId="5" fillId="5" borderId="24" xfId="0" applyFont="1" applyFill="1" applyBorder="1" applyAlignment="1" applyProtection="1">
      <alignment horizontal="center" vertical="center"/>
    </xf>
    <xf numFmtId="0" fontId="5" fillId="5" borderId="28" xfId="0" applyFont="1" applyFill="1" applyBorder="1" applyAlignment="1" applyProtection="1">
      <alignment horizontal="center" vertical="center"/>
    </xf>
    <xf numFmtId="0" fontId="5" fillId="5" borderId="25" xfId="0" applyFont="1" applyFill="1" applyBorder="1" applyAlignment="1" applyProtection="1">
      <alignment horizontal="center" vertical="center"/>
    </xf>
    <xf numFmtId="0" fontId="5" fillId="5" borderId="26" xfId="0" applyFont="1" applyFill="1" applyBorder="1" applyAlignment="1" applyProtection="1">
      <alignment horizontal="center" vertical="center"/>
    </xf>
    <xf numFmtId="0" fontId="5" fillId="5" borderId="16" xfId="0" applyFont="1" applyFill="1" applyBorder="1" applyAlignment="1" applyProtection="1">
      <alignment horizontal="center" vertical="center"/>
    </xf>
    <xf numFmtId="0" fontId="5" fillId="5" borderId="27" xfId="0" applyFont="1" applyFill="1" applyBorder="1" applyAlignment="1" applyProtection="1">
      <alignment horizontal="center" vertical="center"/>
    </xf>
    <xf numFmtId="9" fontId="5" fillId="5" borderId="22" xfId="0" applyNumberFormat="1" applyFont="1" applyFill="1" applyBorder="1" applyAlignment="1" applyProtection="1">
      <alignment horizontal="center" vertical="center"/>
    </xf>
    <xf numFmtId="9" fontId="5" fillId="5" borderId="23" xfId="0" applyNumberFormat="1" applyFont="1" applyFill="1" applyBorder="1" applyAlignment="1" applyProtection="1">
      <alignment horizontal="center" vertical="center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7" borderId="40" xfId="0" applyFont="1" applyFill="1" applyBorder="1" applyAlignment="1" applyProtection="1">
      <alignment horizontal="center" vertical="center"/>
      <protection locked="0"/>
    </xf>
    <xf numFmtId="0" fontId="7" fillId="7" borderId="9" xfId="0" applyFont="1" applyFill="1" applyBorder="1" applyAlignment="1" applyProtection="1">
      <alignment horizontal="center" vertical="center"/>
      <protection locked="0"/>
    </xf>
    <xf numFmtId="0" fontId="7" fillId="7" borderId="41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 applyProtection="1">
      <alignment horizontal="center" vertical="center" wrapText="1" readingOrder="1"/>
      <protection locked="0"/>
    </xf>
    <xf numFmtId="0" fontId="7" fillId="7" borderId="4" xfId="0" applyFont="1" applyFill="1" applyBorder="1" applyAlignment="1" applyProtection="1">
      <alignment horizontal="center" vertical="center" wrapText="1" readingOrder="1"/>
      <protection locked="0"/>
    </xf>
    <xf numFmtId="0" fontId="7" fillId="7" borderId="8" xfId="0" applyFont="1" applyFill="1" applyBorder="1" applyAlignment="1" applyProtection="1">
      <alignment horizontal="center" vertical="center" wrapText="1" readingOrder="1"/>
      <protection locked="0"/>
    </xf>
    <xf numFmtId="0" fontId="7" fillId="7" borderId="9" xfId="0" applyFont="1" applyFill="1" applyBorder="1" applyAlignment="1" applyProtection="1">
      <alignment horizontal="center" vertical="center" wrapText="1" readingOrder="1"/>
      <protection locked="0"/>
    </xf>
    <xf numFmtId="176" fontId="7" fillId="7" borderId="3" xfId="0" applyNumberFormat="1" applyFont="1" applyFill="1" applyBorder="1" applyAlignment="1" applyProtection="1">
      <alignment horizontal="center" vertical="center" wrapText="1" readingOrder="1"/>
      <protection locked="0"/>
    </xf>
    <xf numFmtId="176" fontId="7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7" fillId="7" borderId="1" xfId="0" applyFont="1" applyFill="1" applyBorder="1" applyAlignment="1" applyProtection="1">
      <alignment horizontal="center" vertical="center" wrapText="1" readingOrder="1"/>
      <protection locked="0"/>
    </xf>
    <xf numFmtId="0" fontId="7" fillId="7" borderId="40" xfId="0" applyFont="1" applyFill="1" applyBorder="1" applyAlignment="1" applyProtection="1">
      <alignment horizontal="center" vertical="center" wrapText="1" readingOrder="1"/>
      <protection locked="0"/>
    </xf>
    <xf numFmtId="0" fontId="7" fillId="7" borderId="41" xfId="0" applyFont="1" applyFill="1" applyBorder="1" applyAlignment="1" applyProtection="1">
      <alignment horizontal="center" vertical="center" wrapText="1" readingOrder="1"/>
      <protection locked="0"/>
    </xf>
    <xf numFmtId="176" fontId="7" fillId="7" borderId="3" xfId="0" applyNumberFormat="1" applyFont="1" applyFill="1" applyBorder="1" applyAlignment="1" applyProtection="1">
      <alignment horizontal="center" vertical="center"/>
      <protection locked="0"/>
    </xf>
    <xf numFmtId="176" fontId="7" fillId="7" borderId="1" xfId="0" applyNumberFormat="1" applyFont="1" applyFill="1" applyBorder="1" applyAlignment="1" applyProtection="1">
      <alignment horizontal="center" vertical="center"/>
      <protection locked="0"/>
    </xf>
    <xf numFmtId="0" fontId="4" fillId="8" borderId="22" xfId="0" applyFont="1" applyFill="1" applyBorder="1" applyAlignment="1" applyProtection="1">
      <alignment horizontal="center" vertical="center"/>
      <protection locked="0"/>
    </xf>
    <xf numFmtId="0" fontId="4" fillId="8" borderId="39" xfId="0" applyFont="1" applyFill="1" applyBorder="1" applyAlignment="1" applyProtection="1">
      <alignment horizontal="center" vertical="center"/>
      <protection locked="0"/>
    </xf>
    <xf numFmtId="0" fontId="4" fillId="8" borderId="23" xfId="0" applyFont="1" applyFill="1" applyBorder="1" applyAlignment="1" applyProtection="1">
      <alignment horizontal="center" vertical="center"/>
      <protection locked="0"/>
    </xf>
    <xf numFmtId="0" fontId="7" fillId="4" borderId="20" xfId="0" applyFont="1" applyFill="1" applyBorder="1" applyAlignment="1" applyProtection="1">
      <alignment horizontal="center" vertical="center" wrapText="1"/>
      <protection locked="0"/>
    </xf>
    <xf numFmtId="0" fontId="5" fillId="6" borderId="20" xfId="0" applyNumberFormat="1" applyFont="1" applyFill="1" applyBorder="1" applyAlignment="1" applyProtection="1">
      <alignment horizontal="center" vertical="center" wrapText="1"/>
    </xf>
    <xf numFmtId="0" fontId="7" fillId="7" borderId="49" xfId="0" applyFont="1" applyFill="1" applyBorder="1" applyAlignment="1" applyProtection="1">
      <alignment horizontal="center" vertical="center"/>
      <protection locked="0"/>
    </xf>
    <xf numFmtId="0" fontId="7" fillId="7" borderId="43" xfId="0" applyFont="1" applyFill="1" applyBorder="1" applyAlignment="1" applyProtection="1">
      <alignment horizontal="center" vertical="center"/>
      <protection locked="0"/>
    </xf>
    <xf numFmtId="0" fontId="4" fillId="3" borderId="20" xfId="0" applyFont="1" applyFill="1" applyBorder="1" applyAlignment="1" applyProtection="1">
      <alignment horizontal="center" vertical="center" wrapText="1"/>
      <protection locked="0"/>
    </xf>
    <xf numFmtId="0" fontId="5" fillId="5" borderId="20" xfId="0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 wrapText="1" readingOrder="1"/>
      <protection locked="0"/>
    </xf>
    <xf numFmtId="0" fontId="2" fillId="7" borderId="15" xfId="0" applyFont="1" applyFill="1" applyBorder="1" applyAlignment="1" applyProtection="1">
      <alignment horizontal="center" vertical="center" wrapText="1" readingOrder="1"/>
      <protection locked="0"/>
    </xf>
    <xf numFmtId="9" fontId="5" fillId="3" borderId="45" xfId="0" applyNumberFormat="1" applyFont="1" applyFill="1" applyBorder="1" applyAlignment="1" applyProtection="1">
      <alignment horizontal="center" vertical="center"/>
      <protection locked="0"/>
    </xf>
    <xf numFmtId="9" fontId="5" fillId="3" borderId="29" xfId="0" applyNumberFormat="1" applyFont="1" applyFill="1" applyBorder="1" applyAlignment="1" applyProtection="1">
      <alignment horizontal="center" vertical="center"/>
      <protection locked="0"/>
    </xf>
    <xf numFmtId="177" fontId="4" fillId="0" borderId="20" xfId="0" applyNumberFormat="1" applyFont="1" applyFill="1" applyBorder="1" applyAlignment="1" applyProtection="1">
      <alignment horizontal="center" vertical="center"/>
      <protection locked="0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23" xfId="0" applyFont="1" applyFill="1" applyBorder="1" applyAlignment="1" applyProtection="1">
      <alignment horizontal="center" vertical="center"/>
      <protection locked="0"/>
    </xf>
    <xf numFmtId="0" fontId="2" fillId="7" borderId="3" xfId="0" applyFont="1" applyFill="1" applyBorder="1" applyAlignment="1" applyProtection="1">
      <alignment horizontal="center" vertical="center" wrapText="1" readingOrder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8500"/>
      <color rgb="FFF0F0F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85"/>
  <sheetViews>
    <sheetView tabSelected="1" workbookViewId="0">
      <selection activeCell="F7" sqref="F7"/>
    </sheetView>
  </sheetViews>
  <sheetFormatPr defaultColWidth="9" defaultRowHeight="12" outlineLevelRow="1"/>
  <cols>
    <col min="1" max="1" width="2.75" style="1" customWidth="1"/>
    <col min="2" max="2" width="17.375" style="1" customWidth="1"/>
    <col min="3" max="3" width="33.5" style="1" customWidth="1"/>
    <col min="4" max="4" width="83.125" style="1" customWidth="1"/>
    <col min="5" max="5" width="7.375" style="13" customWidth="1"/>
    <col min="6" max="6" width="12.125" style="1" bestFit="1" customWidth="1"/>
    <col min="7" max="7" width="8.125" style="1" customWidth="1"/>
    <col min="8" max="8" width="33.375" style="1" customWidth="1"/>
    <col min="9" max="9" width="11.875" style="1" customWidth="1"/>
    <col min="10" max="10" width="15.125" style="1" customWidth="1"/>
    <col min="11" max="11" width="9" style="1" customWidth="1"/>
    <col min="12" max="12" width="14.25" style="1" customWidth="1"/>
    <col min="13" max="15" width="9" style="1"/>
    <col min="16" max="19" width="9" style="1" customWidth="1"/>
    <col min="20" max="16384" width="9" style="1"/>
  </cols>
  <sheetData>
    <row r="1" spans="2:19" ht="26.25" customHeight="1">
      <c r="B1" s="117" t="s">
        <v>29</v>
      </c>
      <c r="C1" s="117"/>
      <c r="D1" s="117"/>
      <c r="E1" s="117"/>
      <c r="F1" s="117"/>
      <c r="G1" s="117"/>
      <c r="H1" s="117"/>
      <c r="I1" s="117"/>
      <c r="J1" s="117"/>
    </row>
    <row r="2" spans="2:19" ht="26.25" customHeight="1" thickBot="1">
      <c r="B2" s="87" t="s">
        <v>39</v>
      </c>
      <c r="C2" s="87"/>
      <c r="D2" s="87"/>
      <c r="E2" s="87"/>
      <c r="F2" s="87"/>
      <c r="G2" s="87"/>
      <c r="H2" s="87"/>
      <c r="I2" s="87"/>
      <c r="J2" s="87"/>
    </row>
    <row r="3" spans="2:19" ht="13.5" customHeight="1">
      <c r="B3" s="118" t="s">
        <v>6</v>
      </c>
      <c r="C3" s="120" t="s">
        <v>42</v>
      </c>
      <c r="D3" s="125" t="s">
        <v>43</v>
      </c>
      <c r="E3" s="122" t="s">
        <v>0</v>
      </c>
      <c r="F3" s="86" t="s">
        <v>30</v>
      </c>
      <c r="G3" s="86" t="s">
        <v>1</v>
      </c>
      <c r="H3" s="86"/>
      <c r="I3" s="86" t="s">
        <v>33</v>
      </c>
      <c r="J3" s="86"/>
      <c r="K3" s="84" t="s">
        <v>31</v>
      </c>
      <c r="L3" s="85"/>
      <c r="M3" s="63"/>
      <c r="N3" s="63"/>
      <c r="O3" s="63"/>
      <c r="P3" s="63"/>
      <c r="Q3" s="1" t="s">
        <v>36</v>
      </c>
      <c r="R3" s="1" t="s">
        <v>37</v>
      </c>
    </row>
    <row r="4" spans="2:19" ht="16.5">
      <c r="B4" s="119"/>
      <c r="C4" s="121"/>
      <c r="D4" s="126"/>
      <c r="E4" s="123"/>
      <c r="F4" s="124"/>
      <c r="G4" s="59" t="s">
        <v>2</v>
      </c>
      <c r="H4" s="59" t="s">
        <v>3</v>
      </c>
      <c r="I4" s="59" t="s">
        <v>2</v>
      </c>
      <c r="J4" s="59" t="s">
        <v>32</v>
      </c>
      <c r="K4" s="64" t="s">
        <v>73</v>
      </c>
      <c r="L4" s="64" t="s">
        <v>32</v>
      </c>
    </row>
    <row r="5" spans="2:19" s="2" customFormat="1" ht="58.5" customHeight="1" outlineLevel="1">
      <c r="B5" s="30" t="s">
        <v>46</v>
      </c>
      <c r="C5" s="19" t="s">
        <v>45</v>
      </c>
      <c r="D5" s="19" t="s">
        <v>44</v>
      </c>
      <c r="E5" s="58" t="s">
        <v>41</v>
      </c>
      <c r="F5" s="37" t="s">
        <v>18</v>
      </c>
      <c r="G5" s="60" t="s">
        <v>35</v>
      </c>
      <c r="H5" s="61" t="s">
        <v>20</v>
      </c>
      <c r="I5" s="41"/>
      <c r="J5" s="41"/>
      <c r="K5" s="41"/>
      <c r="L5" s="41"/>
    </row>
    <row r="6" spans="2:19" ht="82.5" outlineLevel="1">
      <c r="B6" s="129" t="s">
        <v>80</v>
      </c>
      <c r="C6" s="81" t="s">
        <v>88</v>
      </c>
      <c r="D6" s="81" t="s">
        <v>89</v>
      </c>
      <c r="E6" s="71">
        <v>0.2</v>
      </c>
      <c r="F6" s="49"/>
      <c r="G6" s="55"/>
      <c r="H6" s="31"/>
      <c r="I6" s="20"/>
      <c r="J6" s="38"/>
      <c r="K6" s="42"/>
      <c r="L6" s="72"/>
      <c r="P6" s="1">
        <f>IFERROR(VLOOKUP(G6,Sheet22!A:B,2,0),0)</f>
        <v>0</v>
      </c>
      <c r="Q6" s="1">
        <f>IFERROR(VLOOKUP(I6,Sheet22!A:B,2,0),0)</f>
        <v>0</v>
      </c>
      <c r="R6" s="1">
        <f>IFERROR(VLOOKUP(K6,Sheet22!A:B,2,0),0)</f>
        <v>0</v>
      </c>
      <c r="S6" s="1" t="s">
        <v>9</v>
      </c>
    </row>
    <row r="7" spans="2:19" ht="148.5" outlineLevel="1">
      <c r="B7" s="131"/>
      <c r="C7" s="81" t="s">
        <v>90</v>
      </c>
      <c r="D7" s="81" t="s">
        <v>91</v>
      </c>
      <c r="E7" s="71">
        <v>0.2</v>
      </c>
      <c r="F7" s="49"/>
      <c r="G7" s="55"/>
      <c r="H7" s="31"/>
      <c r="I7" s="20"/>
      <c r="J7" s="38"/>
      <c r="K7" s="42"/>
      <c r="L7" s="72"/>
      <c r="P7" s="1">
        <f>IFERROR(VLOOKUP(G7,Sheet22!A:B,2,0),0)</f>
        <v>0</v>
      </c>
      <c r="Q7" s="1">
        <f>IFERROR(VLOOKUP(I7,Sheet22!A:B,2,0),0)</f>
        <v>0</v>
      </c>
      <c r="R7" s="1">
        <f>IFERROR(VLOOKUP(K7,Sheet22!A:B,2,0),0)</f>
        <v>0</v>
      </c>
      <c r="S7" s="1" t="s">
        <v>10</v>
      </c>
    </row>
    <row r="8" spans="2:19" ht="214.5" outlineLevel="1">
      <c r="B8" s="129" t="s">
        <v>81</v>
      </c>
      <c r="C8" s="79" t="s">
        <v>79</v>
      </c>
      <c r="D8" s="82" t="s">
        <v>82</v>
      </c>
      <c r="E8" s="71"/>
      <c r="F8" s="49"/>
      <c r="G8" s="55"/>
      <c r="H8" s="31"/>
      <c r="I8" s="20"/>
      <c r="J8" s="38"/>
      <c r="K8" s="42"/>
      <c r="L8" s="72"/>
      <c r="P8" s="1">
        <f>IFERROR(VLOOKUP(G8,Sheet22!A:B,2,0),0)</f>
        <v>0</v>
      </c>
      <c r="Q8" s="1">
        <f>IFERROR(VLOOKUP(I8,Sheet22!A:B,2,0),0)</f>
        <v>0</v>
      </c>
      <c r="R8" s="1">
        <f>IFERROR(VLOOKUP(K8,Sheet22!A:B,2,0),0)</f>
        <v>0</v>
      </c>
      <c r="S8" s="1" t="s">
        <v>11</v>
      </c>
    </row>
    <row r="9" spans="2:19" ht="198" outlineLevel="1">
      <c r="B9" s="130"/>
      <c r="C9" s="83" t="s">
        <v>83</v>
      </c>
      <c r="D9" s="83" t="s">
        <v>84</v>
      </c>
      <c r="E9" s="71"/>
      <c r="F9" s="49"/>
      <c r="G9" s="55"/>
      <c r="H9" s="31"/>
      <c r="I9" s="20"/>
      <c r="J9" s="38"/>
      <c r="K9" s="42"/>
      <c r="L9" s="72"/>
    </row>
    <row r="10" spans="2:19" ht="264" outlineLevel="1">
      <c r="B10" s="131"/>
      <c r="C10" s="83" t="s">
        <v>85</v>
      </c>
      <c r="D10" s="83" t="s">
        <v>86</v>
      </c>
      <c r="E10" s="71"/>
      <c r="F10" s="49"/>
      <c r="G10" s="55"/>
      <c r="H10" s="31"/>
      <c r="I10" s="20"/>
      <c r="J10" s="38"/>
      <c r="K10" s="42"/>
      <c r="L10" s="72"/>
    </row>
    <row r="11" spans="2:19" ht="66" outlineLevel="1">
      <c r="B11" s="45" t="s">
        <v>87</v>
      </c>
      <c r="C11" s="79" t="s">
        <v>77</v>
      </c>
      <c r="D11" s="80" t="s">
        <v>78</v>
      </c>
      <c r="E11" s="71"/>
      <c r="F11" s="49"/>
      <c r="G11" s="55"/>
      <c r="H11" s="31"/>
      <c r="I11" s="20"/>
      <c r="J11" s="38"/>
      <c r="K11" s="42"/>
      <c r="L11" s="72"/>
      <c r="P11" s="1">
        <f>IFERROR(VLOOKUP(G11,Sheet22!A:B,2,0),0)</f>
        <v>0</v>
      </c>
      <c r="Q11" s="1">
        <f>IFERROR(VLOOKUP(I11,Sheet22!A:B,2,0),0)</f>
        <v>0</v>
      </c>
      <c r="R11" s="1">
        <f>IFERROR(VLOOKUP(K11,Sheet22!A:B,2,0),0)</f>
        <v>0</v>
      </c>
      <c r="S11" s="1" t="s">
        <v>12</v>
      </c>
    </row>
    <row r="12" spans="2:19" ht="16.5" outlineLevel="1">
      <c r="B12" s="47"/>
      <c r="C12" s="44"/>
      <c r="D12" s="73"/>
      <c r="E12" s="71"/>
      <c r="F12" s="49"/>
      <c r="G12" s="56"/>
      <c r="H12" s="32"/>
      <c r="I12" s="23"/>
      <c r="J12" s="39"/>
      <c r="K12" s="43"/>
      <c r="L12" s="74"/>
      <c r="P12" s="1">
        <f>IFERROR(VLOOKUP(G12,Sheet22!A:B,2,0),0)</f>
        <v>0</v>
      </c>
      <c r="Q12" s="1">
        <f>IFERROR(VLOOKUP(I12,Sheet22!A:B,2,0),0)</f>
        <v>0</v>
      </c>
      <c r="R12" s="1">
        <f>IFERROR(VLOOKUP(K12,Sheet22!A:B,2,0),0)</f>
        <v>0</v>
      </c>
      <c r="S12" s="1" t="s">
        <v>13</v>
      </c>
    </row>
    <row r="13" spans="2:19" ht="16.5" outlineLevel="1">
      <c r="B13" s="48"/>
      <c r="C13" s="46"/>
      <c r="D13" s="75"/>
      <c r="E13" s="71"/>
      <c r="F13" s="49"/>
      <c r="G13" s="57"/>
      <c r="H13" s="35"/>
      <c r="I13" s="33"/>
      <c r="J13" s="36"/>
      <c r="K13" s="42"/>
      <c r="L13" s="72"/>
      <c r="P13" s="1">
        <f>IFERROR(VLOOKUP(G13,Sheet22!A:B,2,0),0)</f>
        <v>0</v>
      </c>
      <c r="Q13" s="1">
        <f>IFERROR(VLOOKUP(I13,Sheet22!A:B,2,0),0)</f>
        <v>0</v>
      </c>
      <c r="R13" s="1">
        <f>IFERROR(VLOOKUP(K13,Sheet22!A:B,2,0),0)</f>
        <v>0</v>
      </c>
      <c r="S13" s="1" t="s">
        <v>14</v>
      </c>
    </row>
    <row r="14" spans="2:19" ht="16.5" outlineLevel="1">
      <c r="B14" s="48"/>
      <c r="C14" s="46"/>
      <c r="D14" s="48"/>
      <c r="E14" s="71"/>
      <c r="F14" s="49"/>
      <c r="G14" s="34"/>
      <c r="H14" s="35"/>
      <c r="I14" s="33"/>
      <c r="J14" s="36"/>
      <c r="K14" s="42"/>
      <c r="L14" s="72"/>
      <c r="P14" s="1">
        <f>IFERROR(VLOOKUP(G14,Sheet22!A:B,2,0),0)</f>
        <v>0</v>
      </c>
      <c r="Q14" s="1">
        <f>IFERROR(VLOOKUP(I14,Sheet22!A:B,2,0),0)</f>
        <v>0</v>
      </c>
      <c r="R14" s="1">
        <f>IFERROR(VLOOKUP(K14,Sheet22!A:B,2,0),0)</f>
        <v>0</v>
      </c>
      <c r="S14" s="1" t="s">
        <v>15</v>
      </c>
    </row>
    <row r="15" spans="2:19" ht="16.5" outlineLevel="1">
      <c r="B15" s="48"/>
      <c r="C15" s="46"/>
      <c r="D15" s="48"/>
      <c r="E15" s="71"/>
      <c r="F15" s="49"/>
      <c r="G15" s="34"/>
      <c r="H15" s="35"/>
      <c r="I15" s="33"/>
      <c r="J15" s="36"/>
      <c r="K15" s="42"/>
      <c r="L15" s="72"/>
      <c r="P15" s="1">
        <f>IFERROR(VLOOKUP(G15,Sheet22!A:B,2,0),0)</f>
        <v>0</v>
      </c>
      <c r="Q15" s="1">
        <f>IFERROR(VLOOKUP(I15,Sheet22!A:B,2,0),0)</f>
        <v>0</v>
      </c>
      <c r="R15" s="1">
        <f>IFERROR(VLOOKUP(K15,Sheet22!A:B,2,0),0)</f>
        <v>0</v>
      </c>
      <c r="S15" s="1" t="s">
        <v>16</v>
      </c>
    </row>
    <row r="16" spans="2:19" ht="16.5" outlineLevel="1">
      <c r="B16" s="48"/>
      <c r="C16" s="46"/>
      <c r="D16" s="48"/>
      <c r="E16" s="71"/>
      <c r="F16" s="49"/>
      <c r="G16" s="34"/>
      <c r="H16" s="35"/>
      <c r="I16" s="33"/>
      <c r="J16" s="36"/>
      <c r="K16" s="42"/>
      <c r="L16" s="72"/>
      <c r="P16" s="1">
        <f>IFERROR(VLOOKUP(G16,Sheet22!A:B,2,0),0)</f>
        <v>0</v>
      </c>
      <c r="Q16" s="1">
        <f>IFERROR(VLOOKUP(I16,Sheet22!A:B,2,0),0)</f>
        <v>0</v>
      </c>
      <c r="R16" s="1">
        <f>IFERROR(VLOOKUP(K16,Sheet22!A:B,2,0),0)</f>
        <v>0</v>
      </c>
    </row>
    <row r="17" spans="2:18" ht="16.5" outlineLevel="1">
      <c r="B17" s="48"/>
      <c r="C17" s="46"/>
      <c r="D17" s="48"/>
      <c r="E17" s="71"/>
      <c r="F17" s="49"/>
      <c r="G17" s="34"/>
      <c r="H17" s="35"/>
      <c r="I17" s="33"/>
      <c r="J17" s="36"/>
      <c r="K17" s="42"/>
      <c r="L17" s="72"/>
      <c r="P17" s="1">
        <f>IFERROR(VLOOKUP(G17,Sheet22!A:B,2,0),0)</f>
        <v>0</v>
      </c>
      <c r="Q17" s="1">
        <f>IFERROR(VLOOKUP(I17,Sheet22!A:B,2,0),0)</f>
        <v>0</v>
      </c>
      <c r="R17" s="1">
        <f>IFERROR(VLOOKUP(K17,Sheet22!A:B,2,0),0)</f>
        <v>0</v>
      </c>
    </row>
    <row r="18" spans="2:18" ht="16.5" outlineLevel="1">
      <c r="B18" s="48"/>
      <c r="C18" s="76"/>
      <c r="D18" s="48"/>
      <c r="E18" s="71"/>
      <c r="F18" s="49"/>
      <c r="G18" s="34"/>
      <c r="H18" s="35"/>
      <c r="I18" s="33"/>
      <c r="J18" s="40"/>
      <c r="K18" s="72"/>
      <c r="L18" s="72"/>
      <c r="P18" s="1">
        <f>IFERROR(VLOOKUP(G18,Sheet22!A:B,2,0),0)</f>
        <v>0</v>
      </c>
      <c r="Q18" s="1">
        <f>IFERROR(VLOOKUP(I18,Sheet22!A:B,2,0),0)</f>
        <v>0</v>
      </c>
      <c r="R18" s="1">
        <f>IFERROR(VLOOKUP(K18,Sheet22!A:B,2,0),0)</f>
        <v>0</v>
      </c>
    </row>
    <row r="19" spans="2:18" ht="16.5" outlineLevel="1">
      <c r="B19" s="48"/>
      <c r="C19" s="76"/>
      <c r="D19" s="48"/>
      <c r="E19" s="71"/>
      <c r="F19" s="49"/>
      <c r="G19" s="34"/>
      <c r="H19" s="35"/>
      <c r="I19" s="33"/>
      <c r="J19" s="40"/>
      <c r="K19" s="72"/>
      <c r="L19" s="72"/>
      <c r="P19" s="1">
        <f>IFERROR(VLOOKUP(G19,Sheet22!A:B,2,0),0)</f>
        <v>0</v>
      </c>
      <c r="Q19" s="1">
        <f>IFERROR(VLOOKUP(I19,Sheet22!A:B,2,0),0)</f>
        <v>0</v>
      </c>
      <c r="R19" s="1">
        <f>IFERROR(VLOOKUP(K19,Sheet22!A:B,2,0),0)</f>
        <v>0</v>
      </c>
    </row>
    <row r="20" spans="2:18" ht="16.5" outlineLevel="1">
      <c r="B20" s="48"/>
      <c r="C20" s="76"/>
      <c r="D20" s="48"/>
      <c r="E20" s="71"/>
      <c r="F20" s="49"/>
      <c r="G20" s="34"/>
      <c r="H20" s="35"/>
      <c r="I20" s="33"/>
      <c r="J20" s="40"/>
      <c r="K20" s="72"/>
      <c r="L20" s="72"/>
      <c r="P20" s="1">
        <f>IFERROR(VLOOKUP(G20,Sheet22!A:B,2,0),0)</f>
        <v>0</v>
      </c>
      <c r="Q20" s="1">
        <f>IFERROR(VLOOKUP(I20,Sheet22!A:B,2,0),0)</f>
        <v>0</v>
      </c>
      <c r="R20" s="1">
        <f>IFERROR(VLOOKUP(K20,Sheet22!A:B,2,0),0)</f>
        <v>0</v>
      </c>
    </row>
    <row r="21" spans="2:18" ht="16.5" outlineLevel="1">
      <c r="B21" s="48"/>
      <c r="C21" s="76"/>
      <c r="D21" s="48"/>
      <c r="E21" s="71"/>
      <c r="F21" s="49"/>
      <c r="G21" s="34"/>
      <c r="H21" s="35"/>
      <c r="I21" s="33"/>
      <c r="J21" s="40"/>
      <c r="K21" s="72"/>
      <c r="L21" s="72"/>
      <c r="P21" s="1">
        <f>IFERROR(VLOOKUP(G21,Sheet22!A:B,2,0),0)</f>
        <v>0</v>
      </c>
      <c r="Q21" s="1">
        <f>IFERROR(VLOOKUP(I21,Sheet22!A:B,2,0),0)</f>
        <v>0</v>
      </c>
      <c r="R21" s="1">
        <f>IFERROR(VLOOKUP(K21,Sheet22!A:B,2,0),0)</f>
        <v>0</v>
      </c>
    </row>
    <row r="22" spans="2:18" ht="26.25" customHeight="1">
      <c r="B22" s="105" t="s">
        <v>5</v>
      </c>
      <c r="C22" s="106"/>
      <c r="D22" s="107"/>
      <c r="E22" s="111">
        <f>IF(SUM(E6:E18)&lt;100%,100%,SUM(E6:E18))</f>
        <v>1</v>
      </c>
      <c r="F22" s="65" t="s">
        <v>74</v>
      </c>
      <c r="G22" s="50" t="str">
        <f>IF(P22=0,"——",HLOOKUP(Sheet22!$A$1,Sheet22!$A$2:$A$10,MATCH(P22,Sheet22!$B$2:$B$10,-1)))</f>
        <v>——</v>
      </c>
      <c r="H22" s="50"/>
      <c r="I22" s="50" t="str">
        <f>IF(Q22=0,"——",HLOOKUP(Sheet22!$A$1,Sheet22!$A$2:$A$10,MATCH(Q22,Sheet22!$B$2:$B$10,-1)))</f>
        <v>——</v>
      </c>
      <c r="J22" s="50"/>
      <c r="K22" s="50" t="str">
        <f>IF(R22=0,"——",HLOOKUP(Sheet22!$A$1,Sheet22!$A$2:$A$10,MATCH(R22,Sheet22!$B$2:$B$10,-1)))</f>
        <v>——</v>
      </c>
      <c r="L22" s="50"/>
      <c r="P22" s="1">
        <f>SUMPRODUCT(E6:E21,P6:P21)</f>
        <v>0</v>
      </c>
      <c r="Q22" s="1">
        <f>SUMPRODUCT(E6:E21,Q6:Q21)</f>
        <v>0</v>
      </c>
      <c r="R22" s="1">
        <f>SUMPRODUCT(E6:E21,R6:R21)</f>
        <v>0</v>
      </c>
    </row>
    <row r="23" spans="2:18" ht="26.25" customHeight="1">
      <c r="B23" s="108"/>
      <c r="C23" s="109"/>
      <c r="D23" s="110"/>
      <c r="E23" s="112"/>
      <c r="F23" s="66" t="s">
        <v>58</v>
      </c>
      <c r="G23" s="50"/>
      <c r="H23" s="50"/>
      <c r="I23" s="50"/>
      <c r="J23" s="50"/>
      <c r="K23" s="50"/>
      <c r="L23" s="50"/>
      <c r="P23" s="1" t="s">
        <v>38</v>
      </c>
    </row>
    <row r="24" spans="2:18" s="7" customFormat="1" ht="26.25" customHeight="1">
      <c r="B24" s="3"/>
      <c r="C24" s="3"/>
      <c r="D24" s="3"/>
      <c r="E24" s="4"/>
      <c r="F24" s="5"/>
      <c r="G24" s="5"/>
      <c r="H24" s="6"/>
      <c r="I24" s="5"/>
      <c r="J24" s="6"/>
    </row>
    <row r="25" spans="2:18" s="7" customFormat="1" ht="26.25" customHeight="1" thickBot="1">
      <c r="B25" s="92" t="s">
        <v>7</v>
      </c>
      <c r="C25" s="92"/>
      <c r="D25" s="92"/>
      <c r="E25" s="92"/>
      <c r="F25" s="92"/>
      <c r="G25" s="5"/>
      <c r="H25" s="6"/>
      <c r="I25" s="5"/>
      <c r="J25" s="6"/>
    </row>
    <row r="26" spans="2:18" s="7" customFormat="1" ht="15" customHeight="1">
      <c r="B26" s="93" t="s">
        <v>59</v>
      </c>
      <c r="C26" s="113" t="s">
        <v>47</v>
      </c>
      <c r="D26" s="114"/>
      <c r="E26" s="113" t="s">
        <v>60</v>
      </c>
      <c r="F26" s="114"/>
      <c r="G26" s="127" t="s">
        <v>61</v>
      </c>
      <c r="H26" s="147" t="s">
        <v>1</v>
      </c>
      <c r="I26" s="147"/>
      <c r="J26" s="138" t="s">
        <v>75</v>
      </c>
      <c r="K26" s="139"/>
      <c r="L26" s="138" t="s">
        <v>34</v>
      </c>
      <c r="M26" s="139"/>
    </row>
    <row r="27" spans="2:18" s="7" customFormat="1" ht="13.5" customHeight="1">
      <c r="B27" s="94"/>
      <c r="C27" s="115"/>
      <c r="D27" s="116"/>
      <c r="E27" s="134"/>
      <c r="F27" s="135"/>
      <c r="G27" s="128"/>
      <c r="H27" s="51" t="s">
        <v>63</v>
      </c>
      <c r="I27" s="51" t="s">
        <v>3</v>
      </c>
      <c r="J27" s="52" t="s">
        <v>2</v>
      </c>
      <c r="K27" s="52" t="s">
        <v>3</v>
      </c>
      <c r="L27" s="52" t="s">
        <v>2</v>
      </c>
      <c r="M27" s="52" t="s">
        <v>76</v>
      </c>
    </row>
    <row r="28" spans="2:18" s="7" customFormat="1" ht="54" customHeight="1" outlineLevel="1">
      <c r="B28" s="15" t="s">
        <v>51</v>
      </c>
      <c r="C28" s="97" t="s">
        <v>48</v>
      </c>
      <c r="D28" s="98"/>
      <c r="E28" s="136" t="s">
        <v>52</v>
      </c>
      <c r="F28" s="136"/>
      <c r="G28" s="140">
        <v>1</v>
      </c>
      <c r="H28" s="77"/>
      <c r="I28" s="67"/>
      <c r="J28" s="142"/>
      <c r="K28" s="143"/>
      <c r="L28" s="144"/>
      <c r="M28" s="144"/>
    </row>
    <row r="29" spans="2:18" s="7" customFormat="1" ht="52.5" customHeight="1" outlineLevel="1">
      <c r="B29" s="15" t="s">
        <v>53</v>
      </c>
      <c r="C29" s="97" t="s">
        <v>49</v>
      </c>
      <c r="D29" s="98"/>
      <c r="E29" s="136" t="s">
        <v>54</v>
      </c>
      <c r="F29" s="136"/>
      <c r="G29" s="141"/>
      <c r="H29" s="77"/>
      <c r="I29" s="67"/>
      <c r="J29" s="142"/>
      <c r="K29" s="143"/>
      <c r="L29" s="145"/>
      <c r="M29" s="145"/>
    </row>
    <row r="30" spans="2:18" s="7" customFormat="1" ht="50.25" customHeight="1" outlineLevel="1">
      <c r="B30" s="15" t="s">
        <v>55</v>
      </c>
      <c r="C30" s="97" t="s">
        <v>50</v>
      </c>
      <c r="D30" s="98"/>
      <c r="E30" s="136" t="s">
        <v>56</v>
      </c>
      <c r="F30" s="136"/>
      <c r="G30" s="141"/>
      <c r="H30" s="77"/>
      <c r="I30" s="67"/>
      <c r="J30" s="142"/>
      <c r="K30" s="143"/>
      <c r="L30" s="145"/>
      <c r="M30" s="145"/>
    </row>
    <row r="31" spans="2:18" s="7" customFormat="1" ht="20.25" customHeight="1" thickBot="1">
      <c r="B31" s="95" t="s">
        <v>57</v>
      </c>
      <c r="C31" s="96"/>
      <c r="D31" s="96"/>
      <c r="E31" s="137"/>
      <c r="F31" s="137"/>
      <c r="G31" s="62" t="s">
        <v>62</v>
      </c>
      <c r="H31" s="78"/>
      <c r="I31" s="68"/>
      <c r="J31" s="142"/>
      <c r="K31" s="143"/>
      <c r="L31" s="146"/>
      <c r="M31" s="146"/>
    </row>
    <row r="32" spans="2:18" s="7" customFormat="1" ht="20.25" customHeight="1">
      <c r="B32" s="3"/>
      <c r="C32" s="3"/>
      <c r="D32" s="3"/>
      <c r="E32" s="8"/>
      <c r="F32" s="5"/>
      <c r="G32" s="5"/>
      <c r="H32" s="6"/>
      <c r="I32" s="5"/>
      <c r="J32" s="6"/>
    </row>
    <row r="33" spans="2:10" s="7" customFormat="1" ht="26.25" customHeight="1" thickBot="1">
      <c r="B33" s="54" t="s">
        <v>40</v>
      </c>
      <c r="C33" s="9"/>
      <c r="D33" s="9"/>
      <c r="E33" s="9"/>
      <c r="F33" s="9"/>
      <c r="G33" s="5"/>
      <c r="H33" s="6"/>
      <c r="I33" s="5"/>
      <c r="J33" s="6"/>
    </row>
    <row r="34" spans="2:10" s="7" customFormat="1" ht="24" customHeight="1">
      <c r="B34" s="16" t="s">
        <v>64</v>
      </c>
      <c r="C34" s="24" t="s">
        <v>65</v>
      </c>
      <c r="D34" s="24" t="s">
        <v>72</v>
      </c>
      <c r="E34" s="99" t="s">
        <v>66</v>
      </c>
      <c r="F34" s="100"/>
      <c r="G34" s="132" t="s">
        <v>67</v>
      </c>
      <c r="H34" s="132"/>
      <c r="I34" s="5"/>
      <c r="J34" s="6"/>
    </row>
    <row r="35" spans="2:10" s="7" customFormat="1" ht="35.25" customHeight="1">
      <c r="B35" s="17" t="s">
        <v>68</v>
      </c>
      <c r="C35" s="21" t="str">
        <f>IF(G23=0,"",G23)</f>
        <v/>
      </c>
      <c r="D35" s="53" t="str">
        <f>IF(I23=0,"",I23)</f>
        <v/>
      </c>
      <c r="E35" s="101" t="str">
        <f>IF(K23=0,"",K23)</f>
        <v/>
      </c>
      <c r="F35" s="102"/>
      <c r="G35" s="133" t="s">
        <v>69</v>
      </c>
      <c r="H35" s="133"/>
      <c r="I35" s="5"/>
      <c r="J35" s="6"/>
    </row>
    <row r="36" spans="2:10" s="7" customFormat="1" ht="35.25" customHeight="1">
      <c r="B36" s="17" t="s">
        <v>70</v>
      </c>
      <c r="C36" s="21" t="str">
        <f>IF(H31=0,"",H31)</f>
        <v/>
      </c>
      <c r="D36" s="53" t="str">
        <f>IF(J28=0,"",J28)</f>
        <v/>
      </c>
      <c r="E36" s="101" t="str">
        <f>IF(L28=0,"",L28)</f>
        <v/>
      </c>
      <c r="F36" s="102"/>
      <c r="G36" s="133"/>
      <c r="H36" s="133"/>
      <c r="I36" s="5"/>
      <c r="J36" s="6"/>
    </row>
    <row r="37" spans="2:10" s="7" customFormat="1" ht="35.25" customHeight="1" thickBot="1">
      <c r="B37" s="18" t="s">
        <v>71</v>
      </c>
      <c r="C37" s="69"/>
      <c r="D37" s="70"/>
      <c r="E37" s="103"/>
      <c r="F37" s="104"/>
      <c r="G37" s="133"/>
      <c r="H37" s="133"/>
      <c r="I37" s="5"/>
      <c r="J37" s="6"/>
    </row>
    <row r="38" spans="2:10" s="7" customFormat="1" ht="35.25" customHeight="1">
      <c r="B38" s="3"/>
      <c r="C38" s="9"/>
      <c r="D38" s="9"/>
      <c r="E38" s="8"/>
      <c r="F38" s="5"/>
      <c r="G38" s="5"/>
      <c r="H38" s="6"/>
      <c r="I38" s="5"/>
      <c r="J38" s="6"/>
    </row>
    <row r="39" spans="2:10" s="7" customFormat="1">
      <c r="E39" s="10"/>
    </row>
    <row r="40" spans="2:10" s="7" customFormat="1" ht="21" customHeight="1" thickBot="1">
      <c r="B40" s="11" t="s">
        <v>19</v>
      </c>
      <c r="E40" s="10"/>
    </row>
    <row r="41" spans="2:10" s="7" customFormat="1" ht="16.5" thickBot="1">
      <c r="B41" s="25" t="s">
        <v>4</v>
      </c>
      <c r="C41" s="26" t="s">
        <v>27</v>
      </c>
      <c r="D41" s="28" t="s">
        <v>28</v>
      </c>
    </row>
    <row r="42" spans="2:10" s="7" customFormat="1" ht="20.25" customHeight="1" thickBot="1">
      <c r="B42" s="22" t="s">
        <v>8</v>
      </c>
      <c r="C42" s="27" t="s">
        <v>22</v>
      </c>
      <c r="D42" s="29">
        <v>100</v>
      </c>
      <c r="F42" s="10"/>
    </row>
    <row r="43" spans="2:10" s="7" customFormat="1" ht="20.25" customHeight="1" thickBot="1">
      <c r="B43" s="22" t="s">
        <v>9</v>
      </c>
      <c r="C43" s="88" t="s">
        <v>23</v>
      </c>
      <c r="D43" s="29">
        <v>95</v>
      </c>
      <c r="E43" s="11"/>
      <c r="F43" s="10"/>
    </row>
    <row r="44" spans="2:10" s="7" customFormat="1" ht="18.75" customHeight="1" thickBot="1">
      <c r="B44" s="22" t="s">
        <v>10</v>
      </c>
      <c r="C44" s="89"/>
      <c r="D44" s="29">
        <v>90</v>
      </c>
      <c r="E44" s="12"/>
      <c r="F44" s="91"/>
    </row>
    <row r="45" spans="2:10" s="7" customFormat="1" ht="18.75" customHeight="1" thickBot="1">
      <c r="B45" s="22" t="s">
        <v>11</v>
      </c>
      <c r="C45" s="90"/>
      <c r="D45" s="29">
        <v>85</v>
      </c>
      <c r="E45" s="12"/>
      <c r="F45" s="91"/>
    </row>
    <row r="46" spans="2:10" s="7" customFormat="1" ht="18.75" customHeight="1" thickBot="1">
      <c r="B46" s="22" t="s">
        <v>12</v>
      </c>
      <c r="C46" s="88" t="s">
        <v>24</v>
      </c>
      <c r="D46" s="29">
        <v>83</v>
      </c>
      <c r="E46" s="12"/>
      <c r="F46" s="91"/>
    </row>
    <row r="47" spans="2:10" s="7" customFormat="1" ht="20.25" customHeight="1" thickBot="1">
      <c r="B47" s="22" t="s">
        <v>13</v>
      </c>
      <c r="C47" s="89"/>
      <c r="D47" s="29">
        <v>82</v>
      </c>
      <c r="E47" s="10"/>
      <c r="F47" s="10"/>
    </row>
    <row r="48" spans="2:10" s="7" customFormat="1" ht="17.25" thickBot="1">
      <c r="B48" s="22" t="s">
        <v>14</v>
      </c>
      <c r="C48" s="90"/>
      <c r="D48" s="29">
        <v>80</v>
      </c>
      <c r="E48" s="10"/>
      <c r="F48" s="10"/>
    </row>
    <row r="49" spans="2:5" s="7" customFormat="1" ht="18" thickBot="1">
      <c r="B49" s="22" t="s">
        <v>15</v>
      </c>
      <c r="C49" s="27" t="s">
        <v>25</v>
      </c>
      <c r="D49" s="29">
        <v>75</v>
      </c>
      <c r="E49" s="10"/>
    </row>
    <row r="50" spans="2:5" s="7" customFormat="1" ht="18" thickBot="1">
      <c r="B50" s="22" t="s">
        <v>16</v>
      </c>
      <c r="C50" s="27" t="s">
        <v>26</v>
      </c>
      <c r="D50" s="29">
        <v>70</v>
      </c>
      <c r="E50" s="10"/>
    </row>
    <row r="51" spans="2:5" s="7" customFormat="1">
      <c r="E51" s="10"/>
    </row>
    <row r="52" spans="2:5" s="7" customFormat="1">
      <c r="E52" s="10"/>
    </row>
    <row r="53" spans="2:5" s="7" customFormat="1">
      <c r="E53" s="10"/>
    </row>
    <row r="54" spans="2:5" s="7" customFormat="1">
      <c r="E54" s="10"/>
    </row>
    <row r="55" spans="2:5" s="7" customFormat="1">
      <c r="E55" s="10"/>
    </row>
    <row r="56" spans="2:5" s="7" customFormat="1">
      <c r="E56" s="10"/>
    </row>
    <row r="57" spans="2:5" s="7" customFormat="1">
      <c r="E57" s="10"/>
    </row>
    <row r="58" spans="2:5" s="7" customFormat="1">
      <c r="E58" s="10"/>
    </row>
    <row r="59" spans="2:5" s="7" customFormat="1">
      <c r="E59" s="10"/>
    </row>
    <row r="60" spans="2:5" s="7" customFormat="1">
      <c r="E60" s="10"/>
    </row>
    <row r="61" spans="2:5" s="7" customFormat="1">
      <c r="E61" s="10"/>
    </row>
    <row r="62" spans="2:5" s="7" customFormat="1">
      <c r="E62" s="10"/>
    </row>
    <row r="63" spans="2:5" s="7" customFormat="1">
      <c r="E63" s="10"/>
    </row>
    <row r="64" spans="2:5" s="7" customFormat="1">
      <c r="E64" s="10"/>
    </row>
    <row r="65" spans="5:5" s="7" customFormat="1">
      <c r="E65" s="10"/>
    </row>
    <row r="66" spans="5:5" s="7" customFormat="1">
      <c r="E66" s="10"/>
    </row>
    <row r="67" spans="5:5" s="7" customFormat="1">
      <c r="E67" s="10"/>
    </row>
    <row r="68" spans="5:5" s="7" customFormat="1">
      <c r="E68" s="10"/>
    </row>
    <row r="69" spans="5:5" s="7" customFormat="1">
      <c r="E69" s="10"/>
    </row>
    <row r="70" spans="5:5" s="7" customFormat="1">
      <c r="E70" s="10"/>
    </row>
    <row r="71" spans="5:5" s="7" customFormat="1">
      <c r="E71" s="10"/>
    </row>
    <row r="72" spans="5:5" s="7" customFormat="1">
      <c r="E72" s="10"/>
    </row>
    <row r="73" spans="5:5" s="7" customFormat="1">
      <c r="E73" s="10"/>
    </row>
    <row r="74" spans="5:5" s="7" customFormat="1">
      <c r="E74" s="10"/>
    </row>
    <row r="75" spans="5:5" s="7" customFormat="1">
      <c r="E75" s="10"/>
    </row>
    <row r="76" spans="5:5" s="7" customFormat="1">
      <c r="E76" s="10"/>
    </row>
    <row r="77" spans="5:5" s="7" customFormat="1">
      <c r="E77" s="10"/>
    </row>
    <row r="78" spans="5:5" s="7" customFormat="1">
      <c r="E78" s="10"/>
    </row>
    <row r="79" spans="5:5" s="7" customFormat="1">
      <c r="E79" s="10"/>
    </row>
    <row r="80" spans="5:5" s="7" customFormat="1">
      <c r="E80" s="10"/>
    </row>
    <row r="81" spans="5:5" s="7" customFormat="1">
      <c r="E81" s="10"/>
    </row>
    <row r="82" spans="5:5" s="7" customFormat="1">
      <c r="E82" s="10"/>
    </row>
    <row r="83" spans="5:5" s="7" customFormat="1">
      <c r="E83" s="10"/>
    </row>
    <row r="84" spans="5:5" s="7" customFormat="1">
      <c r="E84" s="10"/>
    </row>
    <row r="85" spans="5:5" s="7" customFormat="1">
      <c r="E85" s="10"/>
    </row>
  </sheetData>
  <sheetProtection formatColumns="0" formatRows="0" insertRows="0" deleteRows="0" autoFilter="0"/>
  <protectedRanges>
    <protectedRange sqref="F6:J21" name="区域1"/>
    <protectedRange sqref="D13:D21 E8 E6:E7 B11:E12 E9:E10" name="区域1_1"/>
    <protectedRange sqref="E13:E21 B13:C21" name="区域1_2"/>
    <protectedRange sqref="B6:B7" name="区域1_1_2"/>
    <protectedRange sqref="B8:B10" name="区域1_2_3"/>
    <protectedRange sqref="C8:D8" name="区域1_1_5"/>
    <protectedRange sqref="D10" name="区域1_1_3_1"/>
    <protectedRange sqref="C10" name="区域1_2_1_1"/>
    <protectedRange sqref="D9" name="区域1_1_4_1"/>
    <protectedRange sqref="C9" name="区域1_2_2_1"/>
    <protectedRange sqref="C6:D7" name="区域1_1_6"/>
  </protectedRanges>
  <autoFilter ref="B33:F37">
    <filterColumn colId="0" showButton="0"/>
    <filterColumn colId="1" showButton="0"/>
    <filterColumn colId="2" showButton="0"/>
    <filterColumn colId="3" showButton="0"/>
    <filterColumn colId="4" showButton="0"/>
  </autoFilter>
  <mergeCells count="44">
    <mergeCell ref="E28:F28"/>
    <mergeCell ref="E29:F29"/>
    <mergeCell ref="E30:F30"/>
    <mergeCell ref="E31:F31"/>
    <mergeCell ref="L26:M26"/>
    <mergeCell ref="G28:G30"/>
    <mergeCell ref="J28:J31"/>
    <mergeCell ref="K28:K31"/>
    <mergeCell ref="L28:L31"/>
    <mergeCell ref="M28:M31"/>
    <mergeCell ref="J26:K26"/>
    <mergeCell ref="H26:I26"/>
    <mergeCell ref="E37:F37"/>
    <mergeCell ref="B22:D23"/>
    <mergeCell ref="E22:E23"/>
    <mergeCell ref="C26:D27"/>
    <mergeCell ref="B1:J1"/>
    <mergeCell ref="B3:B4"/>
    <mergeCell ref="C3:C4"/>
    <mergeCell ref="E3:E4"/>
    <mergeCell ref="F3:F4"/>
    <mergeCell ref="D3:D4"/>
    <mergeCell ref="G26:G27"/>
    <mergeCell ref="B8:B10"/>
    <mergeCell ref="B6:B7"/>
    <mergeCell ref="G34:H34"/>
    <mergeCell ref="G35:H37"/>
    <mergeCell ref="E26:F27"/>
    <mergeCell ref="K3:L3"/>
    <mergeCell ref="G3:H3"/>
    <mergeCell ref="B2:J2"/>
    <mergeCell ref="I3:J3"/>
    <mergeCell ref="C43:C45"/>
    <mergeCell ref="F44:F46"/>
    <mergeCell ref="B25:F25"/>
    <mergeCell ref="B26:B27"/>
    <mergeCell ref="C46:C48"/>
    <mergeCell ref="B31:D31"/>
    <mergeCell ref="C28:D28"/>
    <mergeCell ref="C29:D29"/>
    <mergeCell ref="C30:D30"/>
    <mergeCell ref="E34:F34"/>
    <mergeCell ref="E35:F35"/>
    <mergeCell ref="E36:F36"/>
  </mergeCells>
  <phoneticPr fontId="3" type="noConversion"/>
  <dataValidations xWindow="1246" yWindow="267" count="4">
    <dataValidation type="list" allowBlank="1" showInputMessage="1" showErrorMessage="1" sqref="G24:G25 I32:I38 I24:I25 G32:G33 G38">
      <formula1>"5星,4星,3星,2星,1星"</formula1>
    </dataValidation>
    <dataValidation type="list" allowBlank="1" showInputMessage="1" showErrorMessage="1" sqref="I23 H28:H31 J28 I6:I21 G6:G21">
      <formula1>"5星,4星+,4星,4星-,3星+,3星,3星-,2星,1星"</formula1>
    </dataValidation>
    <dataValidation imeMode="off" allowBlank="1" showInputMessage="1" showErrorMessage="1" prompt="引用上面表格的结果，请不要填写" sqref="G35 C35:E36"/>
    <dataValidation type="list" allowBlank="1" showInputMessage="1" showErrorMessage="1" sqref="G23 C37:F37 K23 K6:K21 L28:L31">
      <formula1>$S$6:$S$15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sqref="A1:E10"/>
    </sheetView>
  </sheetViews>
  <sheetFormatPr defaultRowHeight="13.5"/>
  <sheetData>
    <row r="1" spans="1:5">
      <c r="A1" s="14" t="s">
        <v>17</v>
      </c>
      <c r="B1" t="s">
        <v>10</v>
      </c>
      <c r="C1" t="s">
        <v>13</v>
      </c>
      <c r="D1" t="s">
        <v>15</v>
      </c>
      <c r="E1" t="s">
        <v>16</v>
      </c>
    </row>
    <row r="2" spans="1:5">
      <c r="A2" t="s">
        <v>8</v>
      </c>
      <c r="B2" t="s">
        <v>8</v>
      </c>
      <c r="C2" t="s">
        <v>8</v>
      </c>
      <c r="D2" t="s">
        <v>12</v>
      </c>
      <c r="E2" t="s">
        <v>12</v>
      </c>
    </row>
    <row r="3" spans="1:5">
      <c r="A3" t="s">
        <v>9</v>
      </c>
      <c r="B3" t="s">
        <v>9</v>
      </c>
      <c r="C3" t="s">
        <v>9</v>
      </c>
      <c r="D3" t="s">
        <v>13</v>
      </c>
      <c r="E3" t="s">
        <v>13</v>
      </c>
    </row>
    <row r="4" spans="1:5">
      <c r="A4" t="s">
        <v>10</v>
      </c>
      <c r="B4" t="s">
        <v>10</v>
      </c>
      <c r="C4" t="s">
        <v>10</v>
      </c>
      <c r="D4" t="s">
        <v>14</v>
      </c>
      <c r="E4" t="s">
        <v>14</v>
      </c>
    </row>
    <row r="5" spans="1:5">
      <c r="A5" t="s">
        <v>11</v>
      </c>
      <c r="B5" t="s">
        <v>11</v>
      </c>
      <c r="C5" t="s">
        <v>11</v>
      </c>
      <c r="D5" t="s">
        <v>15</v>
      </c>
      <c r="E5" t="s">
        <v>15</v>
      </c>
    </row>
    <row r="6" spans="1:5">
      <c r="A6" t="s">
        <v>12</v>
      </c>
      <c r="B6" t="s">
        <v>12</v>
      </c>
      <c r="C6" t="s">
        <v>12</v>
      </c>
      <c r="D6" t="s">
        <v>16</v>
      </c>
      <c r="E6" t="s">
        <v>16</v>
      </c>
    </row>
    <row r="7" spans="1:5">
      <c r="A7" t="s">
        <v>13</v>
      </c>
      <c r="B7" t="s">
        <v>13</v>
      </c>
      <c r="C7" t="s">
        <v>13</v>
      </c>
    </row>
    <row r="8" spans="1:5">
      <c r="A8" t="s">
        <v>14</v>
      </c>
      <c r="B8" t="s">
        <v>14</v>
      </c>
      <c r="C8" t="s">
        <v>14</v>
      </c>
    </row>
    <row r="9" spans="1:5">
      <c r="A9" t="s">
        <v>15</v>
      </c>
      <c r="B9" t="s">
        <v>15</v>
      </c>
      <c r="C9" t="s">
        <v>15</v>
      </c>
    </row>
    <row r="10" spans="1:5">
      <c r="A10" t="s">
        <v>16</v>
      </c>
      <c r="B10" t="s">
        <v>16</v>
      </c>
      <c r="C10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C32" sqref="C32"/>
    </sheetView>
  </sheetViews>
  <sheetFormatPr defaultRowHeight="13.5"/>
  <sheetData>
    <row r="1" spans="1:5">
      <c r="A1" t="s">
        <v>8</v>
      </c>
      <c r="B1" t="s">
        <v>10</v>
      </c>
      <c r="C1" t="s">
        <v>13</v>
      </c>
      <c r="D1" t="s">
        <v>15</v>
      </c>
      <c r="E1" t="s">
        <v>16</v>
      </c>
    </row>
    <row r="2" spans="1:5">
      <c r="A2" t="s">
        <v>8</v>
      </c>
      <c r="B2" t="s">
        <v>8</v>
      </c>
      <c r="C2" t="s">
        <v>8</v>
      </c>
      <c r="D2" t="s">
        <v>12</v>
      </c>
      <c r="E2" t="s">
        <v>12</v>
      </c>
    </row>
    <row r="3" spans="1:5">
      <c r="A3" t="s">
        <v>9</v>
      </c>
      <c r="B3" t="s">
        <v>9</v>
      </c>
      <c r="C3" t="s">
        <v>9</v>
      </c>
      <c r="D3" t="s">
        <v>13</v>
      </c>
      <c r="E3" t="s">
        <v>13</v>
      </c>
    </row>
    <row r="4" spans="1:5">
      <c r="A4" t="s">
        <v>10</v>
      </c>
      <c r="B4" t="s">
        <v>10</v>
      </c>
      <c r="C4" t="s">
        <v>10</v>
      </c>
      <c r="D4" t="s">
        <v>14</v>
      </c>
      <c r="E4" t="s">
        <v>14</v>
      </c>
    </row>
    <row r="5" spans="1:5">
      <c r="A5" t="s">
        <v>11</v>
      </c>
      <c r="B5" t="s">
        <v>11</v>
      </c>
      <c r="C5" t="s">
        <v>11</v>
      </c>
      <c r="D5" t="s">
        <v>15</v>
      </c>
      <c r="E5" t="s">
        <v>15</v>
      </c>
    </row>
    <row r="6" spans="1:5">
      <c r="A6" t="s">
        <v>12</v>
      </c>
      <c r="B6" t="s">
        <v>12</v>
      </c>
      <c r="C6" t="s">
        <v>12</v>
      </c>
      <c r="D6" t="s">
        <v>16</v>
      </c>
      <c r="E6" t="s">
        <v>16</v>
      </c>
    </row>
    <row r="7" spans="1:5">
      <c r="A7" t="s">
        <v>13</v>
      </c>
      <c r="B7" t="s">
        <v>13</v>
      </c>
      <c r="C7" t="s">
        <v>13</v>
      </c>
    </row>
    <row r="8" spans="1:5">
      <c r="A8" t="s">
        <v>14</v>
      </c>
      <c r="B8" t="s">
        <v>14</v>
      </c>
      <c r="C8" t="s">
        <v>14</v>
      </c>
    </row>
    <row r="9" spans="1:5">
      <c r="A9" t="s">
        <v>15</v>
      </c>
      <c r="B9" t="s">
        <v>15</v>
      </c>
      <c r="C9" t="s">
        <v>15</v>
      </c>
    </row>
    <row r="10" spans="1:5">
      <c r="A10" t="s">
        <v>16</v>
      </c>
      <c r="B10" t="s">
        <v>16</v>
      </c>
      <c r="C10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2" sqref="B2:B10"/>
    </sheetView>
  </sheetViews>
  <sheetFormatPr defaultRowHeight="13.5"/>
  <sheetData>
    <row r="1" spans="1:2">
      <c r="A1" t="s">
        <v>4</v>
      </c>
      <c r="B1" t="s">
        <v>21</v>
      </c>
    </row>
    <row r="2" spans="1:2">
      <c r="A2" t="s">
        <v>8</v>
      </c>
      <c r="B2">
        <v>100</v>
      </c>
    </row>
    <row r="3" spans="1:2">
      <c r="A3" t="s">
        <v>9</v>
      </c>
      <c r="B3">
        <v>95</v>
      </c>
    </row>
    <row r="4" spans="1:2">
      <c r="A4" t="s">
        <v>10</v>
      </c>
      <c r="B4">
        <v>90</v>
      </c>
    </row>
    <row r="5" spans="1:2">
      <c r="A5" t="s">
        <v>11</v>
      </c>
      <c r="B5">
        <v>85</v>
      </c>
    </row>
    <row r="6" spans="1:2">
      <c r="A6" t="s">
        <v>12</v>
      </c>
      <c r="B6">
        <v>83</v>
      </c>
    </row>
    <row r="7" spans="1:2">
      <c r="A7" t="s">
        <v>13</v>
      </c>
      <c r="B7">
        <v>82</v>
      </c>
    </row>
    <row r="8" spans="1:2">
      <c r="A8" t="s">
        <v>14</v>
      </c>
      <c r="B8">
        <v>80</v>
      </c>
    </row>
    <row r="9" spans="1:2">
      <c r="A9" t="s">
        <v>15</v>
      </c>
      <c r="B9">
        <v>75</v>
      </c>
    </row>
    <row r="10" spans="1:2">
      <c r="A10" t="s">
        <v>16</v>
      </c>
      <c r="B10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6</vt:i4>
      </vt:variant>
    </vt:vector>
  </HeadingPairs>
  <TitlesOfParts>
    <vt:vector size="10" baseType="lpstr">
      <vt:lpstr>2015年上半年目标制定表</vt:lpstr>
      <vt:lpstr>Sheet1</vt:lpstr>
      <vt:lpstr>Sheet11</vt:lpstr>
      <vt:lpstr>Sheet22</vt:lpstr>
      <vt:lpstr>_1星</vt:lpstr>
      <vt:lpstr>_2星</vt:lpstr>
      <vt:lpstr>_3星</vt:lpstr>
      <vt:lpstr>_4星</vt:lpstr>
      <vt:lpstr>_5星</vt:lpstr>
      <vt:lpstr>组织管理评价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vickyrmcai(蔡日梅)</dc:creator>
  <cp:lastModifiedBy>wytheliu(刘伟)</cp:lastModifiedBy>
  <dcterms:created xsi:type="dcterms:W3CDTF">2014-05-20T01:34:23Z</dcterms:created>
  <dcterms:modified xsi:type="dcterms:W3CDTF">2015-01-08T03:01:20Z</dcterms:modified>
</cp:coreProperties>
</file>